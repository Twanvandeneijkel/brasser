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cb186fc6554b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base" sheetId="3" r:id="R5da05fb74e59498c"/>
    <x:sheet xmlns:r="http://schemas.openxmlformats.org/officeDocument/2006/relationships" name="Recepten" sheetId="4" r:id="Rb0e5826219e346de"/>
  </x:sheets>
  <x:definedNames>
    <x:definedName name="Ingrediënten">Database!$A$2:$A$2000</x:definedName>
  </x:definedNames>
</x:workbook>
</file>

<file path=xl/comments1.xml><?xml version="1.0" encoding="utf-8"?>
<x:comments xmlns:x="http://schemas.openxmlformats.org/spreadsheetml/2006/main">
  <x:authors>
    <x:author>tc={9DBCFFEE-0526-A783-E57B-7170FDA61A48}</x:author>
  </x:authors>
  <x:commentList>
    <x:comment ref="L10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Deze kopieerbare etikettekst wordt automatisch opgebouwd uit de totalen in M2:T2.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<x:sst xmlns:x="http://schemas.openxmlformats.org/spreadsheetml/2006/main">
  <x:si>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Ingrediënt</x:t>
  </x:si>
  <x:si>
    <x:t xml:space="preserve">Energie (kcal)</x:t>
  </x:si>
  <x:si>
    <x:t xml:space="preserve">Vet (g)</x:t>
  </x:si>
  <x:si>
    <x:t xml:space="preserve">Verzadigd vet (g)</x:t>
  </x:si>
  <x:si>
    <x:t xml:space="preserve">Koolhydraten (g)</x:t>
  </x:si>
  <x:si>
    <x:t xml:space="preserve">Suikers (g)</x:t>
  </x:si>
  <x:si>
    <x:t xml:space="preserve">Vezels (g)</x:t>
  </x:si>
  <x:si>
    <x:t xml:space="preserve">Eiwitten (g)</x:t>
  </x:si>
  <x:si>
    <x:t xml:space="preserve">Zout (g)</x:t>
  </x:si>
  <x:si>
    <x:t xml:space="preserve">Curcuma</x:t>
  </x:si>
  <x:si>
    <x:t xml:space="preserve">3,3</x:t>
  </x:si>
  <x:si>
    <x:t xml:space="preserve">67,1</x:t>
  </x:si>
  <x:si>
    <x:t xml:space="preserve">3,2</x:t>
  </x:si>
  <x:si>
    <x:t xml:space="preserve">22,7</x:t>
  </x:si>
  <x:si>
    <x:t xml:space="preserve">9,7</x:t>
  </x:si>
  <x:si>
    <x:t xml:space="preserve">0,07</x:t>
  </x:si>
  <x:si>
    <x:t xml:space="preserve">Witte basterdsuiker</x:t>
  </x:si>
  <x:si>
    <x:t xml:space="preserve">Zout</x:t>
  </x:si>
  <x:si>
    <x:t xml:space="preserve">97,5</x:t>
  </x:si>
  <x:si>
    <x:t xml:space="preserve">Bloem</x:t>
  </x:si>
  <x:si>
    <x:t xml:space="preserve">Kies ingrediënt</x:t>
  </x:si>
  <x:si>
    <x:t xml:space="preserve">Kies verhouding</x:t>
  </x:si>
  <x:si>
    <x:t xml:space="preserve">Totaal</x:t>
  </x:si>
</x:sst>
</file>

<file path=xl/styles.xml><?xml version="1.0" encoding="utf-8"?>
<x:styleSheet xmlns:x="http://schemas.openxmlformats.org/spreadsheetml/2006/main">
  <x:numFmts count="1">
    <x:numFmt numFmtId="169" formatCode="0.000"/>
  </x:numFmts>
  <x:fonts count="9">
    <x:font>
      <x:sz val="11"/>
      <x:color theme="1"/>
      <x:name val="Aptos Narrow"/>
    </x:font>
    <x:font>
      <x:b/>
      <x:sz val="11"/>
      <x:color theme="1"/>
      <x:name val="Aptos Narrow"/>
    </x:font>
    <x:font>
      <x:sz val="11"/>
      <x:color rgb="FF000000"/>
      <x:name val="Aptos Narrow"/>
    </x:font>
    <x:font>
      <x:sz val="11"/>
      <x:color rgb="FF243B53"/>
      <x:name val="Aptos Narrow"/>
    </x:font>
    <x:font>
      <x:b/>
      <x:sz val="11"/>
      <x:color rgb="FFFFFFFF"/>
      <x:name val="Aptos Narrow"/>
    </x:font>
    <x:font>
      <x:sz val="11"/>
      <x:color rgb="FF173B3A"/>
      <x:name val="Aptos Narrow"/>
    </x:font>
    <x:font>
      <x:sz val="11"/>
      <x:color rgb="FF334E68"/>
      <x:name val="Aptos Narrow"/>
    </x:font>
    <x:font>
      <x:b/>
      <x:sz val="11"/>
      <x:color rgb="FF17365D"/>
      <x:name val="Aptos Narrow"/>
    </x:font>
    <x:font>
      <x:sz val="11"/>
      <x:color rgb="FF4A3B00"/>
      <x:name val="Aptos Narrow"/>
    </x:font>
  </x:fonts>
  <x:fills count="11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FFF7E6"/>
      </x:patternFill>
    </x:fill>
    <x:fill>
      <x:patternFill patternType="solid">
        <x:fgColor rgb="FF0F766E"/>
      </x:patternFill>
    </x:fill>
    <x:fill>
      <x:patternFill patternType="solid">
        <x:fgColor rgb="FFE6F4F1"/>
      </x:patternFill>
    </x:fill>
    <x:fill>
      <x:patternFill patternType="solid">
        <x:fgColor rgb="FF486581"/>
      </x:patternFill>
    </x:fill>
    <x:fill>
      <x:patternFill patternType="solid">
        <x:fgColor rgb="FFF2F6F9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8E1"/>
      </x:patternFill>
    </x:fill>
  </x:fills>
  <x:borders count="15">
    <x:border/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medium">
        <x:color rgb="FF0F766E"/>
      </x:left>
      <x:top style="medium">
        <x:color rgb="FF0F766E"/>
      </x:top>
    </x:border>
    <x:border>
      <x:top style="medium">
        <x:color rgb="FF0F766E"/>
      </x:top>
    </x:border>
    <x:border>
      <x:right style="medium">
        <x:color rgb="FF0F766E"/>
      </x:right>
      <x:top style="medium">
        <x:color rgb="FF0F766E"/>
      </x:top>
    </x:border>
    <x:border>
      <x:left style="medium">
        <x:color rgb="FF0F766E"/>
      </x:left>
    </x:border>
    <x:border>
      <x:right style="medium">
        <x:color rgb="FF0F766E"/>
      </x:right>
    </x:border>
    <x:border>
      <x:left style="medium">
        <x:color rgb="FF0F766E"/>
      </x:left>
      <x:bottom style="medium">
        <x:color rgb="FF0F766E"/>
      </x:bottom>
    </x:border>
    <x:border>
      <x:bottom style="medium">
        <x:color rgb="FF0F766E"/>
      </x:bottom>
    </x:border>
    <x:border>
      <x:right style="medium">
        <x:color rgb="FF0F766E"/>
      </x:right>
      <x:bottom style="medium">
        <x:color rgb="FF0F766E"/>
      </x:bottom>
    </x:border>
    <x:border>
      <x:left style="thin">
        <x:color rgb="FF0B5F59"/>
      </x:left>
      <x:top style="thin">
        <x:color rgb="FF0B5F59"/>
      </x:top>
      <x:bottom style="thin">
        <x:color rgb="FF0B5F59"/>
      </x:bottom>
    </x:border>
    <x:border>
      <x:right style="thin">
        <x:color rgb="FF0B5F59"/>
      </x:right>
      <x:top style="thin">
        <x:color rgb="FF0B5F59"/>
      </x:top>
      <x:bottom style="thin">
        <x:color rgb="FF0B5F59"/>
      </x:bottom>
    </x:border>
    <x:border>
      <x:left style="thin">
        <x:color rgb="FF9CC2E5"/>
      </x:left>
      <x:top style="thin">
        <x:color rgb="FF9CC2E5"/>
      </x:top>
      <x:bottom style="thin">
        <x:color rgb="FF9CC2E5"/>
      </x:bottom>
    </x:border>
    <x:border>
      <x:top style="thin">
        <x:color rgb="FF9CC2E5"/>
      </x:top>
      <x:bottom style="thin">
        <x:color rgb="FF9CC2E5"/>
      </x:bottom>
    </x:border>
    <x:border>
      <x:right style="thin">
        <x:color rgb="FF9CC2E5"/>
      </x:right>
      <x:top style="thin">
        <x:color rgb="FF9CC2E5"/>
      </x:top>
      <x:bottom style="thin">
        <x:color rgb="FF9CC2E5"/>
      </x:bottom>
    </x:border>
  </x:borders>
  <x:cellStyleXfs count="1">
    <x:xf numFmtId="0" fontId="0" fillId="0" borderId="0"/>
  </x:cellStyleXfs>
  <x:cellXfs count="92">
    <x:xf numFmtId="0" fontId="0" fillId="0" borderId="0" xfId="0"/>
    <x:xf numFmtId="0" fontId="0" fillId="0" borderId="0" xfId="0" applyAlignment="1">
      <x:alignment vertical="center" wrapText="1"/>
    </x:xf>
    <x:xf numFmtId="0" fontId="1" fillId="0" borderId="0" xfId="0" applyFont="1" applyAlignment="1">
      <x:alignment horizontal="center" vertical="center" wrapText="1"/>
    </x:xf>
    <x:xf numFmtId="0" fontId="0" fillId="0" borderId="0" xfId="0" applyAlignment="1">
      <x:alignment horizontal="right" vertical="center" wrapText="1"/>
    </x:xf>
    <x:xf numFmtId="0" fontId="1" fillId="0" borderId="0" xfId="0" applyFont="1" applyAlignment="1">
      <x:alignment horizontal="right" vertical="center" wrapText="1"/>
    </x:xf>
    <x:xf numFmtId="0" fontId="1" fillId="0" borderId="0" xfId="0" applyFont="1"/>
    <x:xf numFmtId="9" fontId="0" fillId="0" borderId="0" xfId="0" applyNumberFormat="1" applyAlignment="1">
      <x:alignment horizontal="right" vertical="center" wrapText="1"/>
    </x:xf>
    <x:xf numFmtId="10" fontId="0" fillId="0" borderId="0" xfId="0" applyNumberFormat="1"/>
    <x:xf numFmtId="10" fontId="0" fillId="0" borderId="0" xfId="0" applyNumberFormat="1" applyAlignment="1">
      <x:alignment horizontal="right" vertical="center" wrapText="1"/>
    </x:xf>
    <x:xf numFmtId="169" fontId="0" fillId="0" borderId="0" xfId="0" applyNumberFormat="1"/>
    <x:xf numFmtId="1" fontId="0" fillId="0" borderId="0" xfId="0" applyNumberFormat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left" wrapText="1"/>
    </x:xf>
    <x:xf numFmtId="0" fontId="2" fillId="2" borderId="1" xfId="0" applyNumberFormat="1" applyFont="1" applyFill="1" applyBorder="1" applyAlignment="1">
      <x:alignment horizontal="left" vertical="top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3" fillId="3" borderId="5" xfId="0" applyNumberFormat="1" applyFont="1" applyFill="1" applyBorder="1"/>
    <x:xf numFmtId="0" fontId="3" fillId="3" xfId="0" applyNumberFormat="1" applyFont="1" applyFill="1" applyBorder="0"/>
    <x:xf numFmtId="0" fontId="3" fillId="3" borderId="6" xfId="0" applyNumberFormat="1" applyFont="1" applyFill="1" applyBorder="1"/>
    <x:xf numFmtId="0" fontId="3" fillId="3" borderId="7" xfId="0" applyNumberFormat="1" applyFont="1" applyFill="1" applyBorder="1"/>
    <x:xf numFmtId="0" fontId="3" fillId="3" borderId="8" xfId="0" applyNumberFormat="1" applyFont="1" applyFill="1" applyBorder="1"/>
    <x:xf numFmtId="0" fontId="3" fillId="3" borderId="9" xfId="0" applyNumberFormat="1" applyFont="1" applyFill="1" applyBorder="1"/>
    <x:xf numFmtId="0" fontId="3" fillId="3" borderId="2" xfId="0" applyNumberFormat="1" applyFont="1" applyFill="1" applyBorder="1" applyAlignment="1">
      <x:alignment wrapText="1"/>
    </x:xf>
    <x:xf numFmtId="0" fontId="3" fillId="3" borderId="3" xfId="0" applyNumberFormat="1" applyFont="1" applyFill="1" applyBorder="1" applyAlignment="1">
      <x:alignment wrapText="1"/>
    </x:xf>
    <x:xf numFmtId="0" fontId="3" fillId="3" borderId="4" xfId="0" applyNumberFormat="1" applyFont="1" applyFill="1" applyBorder="1" applyAlignment="1">
      <x:alignment wrapText="1"/>
    </x:xf>
    <x:xf numFmtId="0" fontId="3" fillId="3" borderId="5" xfId="0" applyNumberFormat="1" applyFont="1" applyFill="1" applyBorder="1" applyAlignment="1">
      <x:alignment wrapText="1"/>
    </x:xf>
    <x:xf numFmtId="0" fontId="3" fillId="3" xfId="0" applyNumberFormat="1" applyFont="1" applyFill="1" applyBorder="0" applyAlignment="1">
      <x:alignment wrapText="1"/>
    </x:xf>
    <x:xf numFmtId="0" fontId="3" fillId="3" borderId="6" xfId="0" applyNumberFormat="1" applyFont="1" applyFill="1" applyBorder="1" applyAlignment="1">
      <x:alignment wrapText="1"/>
    </x:xf>
    <x:xf numFmtId="0" fontId="3" fillId="3" borderId="7" xfId="0" applyNumberFormat="1" applyFont="1" applyFill="1" applyBorder="1" applyAlignment="1">
      <x:alignment wrapText="1"/>
    </x:xf>
    <x:xf numFmtId="0" fontId="3" fillId="3" borderId="8" xfId="0" applyNumberFormat="1" applyFont="1" applyFill="1" applyBorder="1" applyAlignment="1">
      <x:alignment wrapText="1"/>
    </x:xf>
    <x:xf numFmtId="0" fontId="3" fillId="3" borderId="9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horizontal="left" wrapText="1"/>
    </x:xf>
    <x:xf numFmtId="0" fontId="3" fillId="3" borderId="3" xfId="0" applyNumberFormat="1" applyFont="1" applyFill="1" applyBorder="1" applyAlignment="1">
      <x:alignment horizontal="left" wrapText="1"/>
    </x:xf>
    <x:xf numFmtId="0" fontId="3" fillId="3" borderId="4" xfId="0" applyNumberFormat="1" applyFont="1" applyFill="1" applyBorder="1" applyAlignment="1">
      <x:alignment horizontal="left" wrapText="1"/>
    </x:xf>
    <x:xf numFmtId="0" fontId="3" fillId="3" borderId="5" xfId="0" applyNumberFormat="1" applyFont="1" applyFill="1" applyBorder="1" applyAlignment="1">
      <x:alignment horizontal="left" wrapText="1"/>
    </x:xf>
    <x:xf numFmtId="0" fontId="3" fillId="3" xfId="0" applyNumberFormat="1" applyFont="1" applyFill="1" applyBorder="0" applyAlignment="1">
      <x:alignment horizontal="left" wrapText="1"/>
    </x:xf>
    <x:xf numFmtId="0" fontId="3" fillId="3" borderId="6" xfId="0" applyNumberFormat="1" applyFont="1" applyFill="1" applyBorder="1" applyAlignment="1">
      <x:alignment horizontal="left" wrapText="1"/>
    </x:xf>
    <x:xf numFmtId="0" fontId="3" fillId="3" borderId="7" xfId="0" applyNumberFormat="1" applyFont="1" applyFill="1" applyBorder="1" applyAlignment="1">
      <x:alignment horizontal="left" wrapText="1"/>
    </x:xf>
    <x:xf numFmtId="0" fontId="3" fillId="3" borderId="8" xfId="0" applyNumberFormat="1" applyFont="1" applyFill="1" applyBorder="1" applyAlignment="1">
      <x:alignment horizontal="left" wrapText="1"/>
    </x:xf>
    <x:xf numFmtId="0" fontId="3" fillId="3" borderId="9" xfId="0" applyNumberFormat="1" applyFont="1" applyFill="1" applyBorder="1" applyAlignment="1">
      <x:alignment horizontal="left" wrapText="1"/>
    </x:xf>
    <x:xf numFmtId="0" fontId="3" fillId="3" borderId="2" xfId="0" applyNumberFormat="1" applyFont="1" applyFill="1" applyBorder="1" applyAlignment="1">
      <x:alignment horizontal="left" vertical="top" wrapText="1"/>
    </x:xf>
    <x:xf numFmtId="0" fontId="3" fillId="3" borderId="3" xfId="0" applyNumberFormat="1" applyFont="1" applyFill="1" applyBorder="1" applyAlignment="1">
      <x:alignment horizontal="left" vertical="top" wrapText="1"/>
    </x:xf>
    <x:xf numFmtId="0" fontId="3" fillId="3" borderId="4" xfId="0" applyNumberFormat="1" applyFont="1" applyFill="1" applyBorder="1" applyAlignment="1">
      <x:alignment horizontal="left" vertical="top" wrapText="1"/>
    </x:xf>
    <x:xf numFmtId="0" fontId="3" fillId="3" borderId="5" xfId="0" applyNumberFormat="1" applyFont="1" applyFill="1" applyBorder="1" applyAlignment="1">
      <x:alignment horizontal="left" vertical="top" wrapText="1"/>
    </x:xf>
    <x:xf numFmtId="0" fontId="3" fillId="3" xfId="0" applyNumberFormat="1" applyFont="1" applyFill="1" applyBorder="0" applyAlignment="1">
      <x:alignment horizontal="left" vertical="top" wrapText="1"/>
    </x:xf>
    <x:xf numFmtId="0" fontId="3" fillId="3" borderId="6" xfId="0" applyNumberFormat="1" applyFont="1" applyFill="1" applyBorder="1" applyAlignment="1">
      <x:alignment horizontal="left" vertical="top" wrapText="1"/>
    </x:xf>
    <x:xf numFmtId="0" fontId="3" fillId="3" borderId="7" xfId="0" applyNumberFormat="1" applyFont="1" applyFill="1" applyBorder="1" applyAlignment="1">
      <x:alignment horizontal="left" vertical="top" wrapText="1"/>
    </x:xf>
    <x:xf numFmtId="0" fontId="3" fillId="3" borderId="8" xfId="0" applyNumberFormat="1" applyFont="1" applyFill="1" applyBorder="1" applyAlignment="1">
      <x:alignment horizontal="left" vertical="top" wrapText="1"/>
    </x:xf>
    <x:xf numFmtId="0" fontId="3" fillId="3" borderId="9" xfId="0" applyNumberFormat="1" applyFont="1" applyFill="1" applyBorder="1" applyAlignment="1">
      <x:alignment horizontal="left" vertical="top" wrapText="1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0" xfId="0" applyNumberFormat="1" applyFont="1" applyFill="1" applyBorder="1"/>
    <x:xf numFmtId="0" fontId="4" fillId="4" borderId="11" xfId="0" applyNumberFormat="1" applyFont="1" applyFill="1" applyBorder="1"/>
    <x:xf numFmtId="0" fontId="0" fillId="5" borderId="0" xfId="0" applyNumberFormat="1" applyFont="1" applyFill="1" applyBorder="1"/>
    <x:xf numFmtId="10" fontId="0" fillId="5" borderId="0" xfId="0" applyNumberFormat="1" applyFont="1" applyFill="1" applyBorder="1" applyAlignment="1">
      <x:alignment horizontal="right" vertical="center" wrapText="1"/>
    </x:xf>
    <x:xf numFmtId="9" fontId="0" fillId="5" borderId="0" xfId="0" applyNumberFormat="1" applyFont="1" applyFill="1" applyBorder="1" applyAlignment="1">
      <x:alignment horizontal="right" vertical="center" wrapText="1"/>
    </x:xf>
    <x:xf numFmtId="10" fontId="0" fillId="5" borderId="0" xfId="0" applyNumberFormat="1" applyFont="1" applyFill="1" applyBorder="1"/>
    <x:xf numFmtId="0" fontId="5" fillId="5" borderId="0" xfId="0" applyNumberFormat="1" applyFont="1" applyFill="1" applyBorder="1"/>
    <x:xf numFmtId="10" fontId="5" fillId="5" borderId="0" xfId="0" applyNumberFormat="1" applyFont="1" applyFill="1" applyBorder="1" applyAlignment="1">
      <x:alignment horizontal="right" vertical="center" wrapText="1"/>
    </x:xf>
    <x:xf numFmtId="9" fontId="5" fillId="5" borderId="0" xfId="0" applyNumberFormat="1" applyFont="1" applyFill="1" applyBorder="1" applyAlignment="1">
      <x:alignment horizontal="right" vertical="center" wrapText="1"/>
    </x:xf>
    <x:xf numFmtId="10" fontId="5" fillId="5" borderId="0" xfId="0" applyNumberFormat="1" applyFont="1" applyFill="1" applyBorder="1"/>
    <x:xf numFmtId="0" fontId="1" fillId="6" borderId="0" xfId="0" applyNumberFormat="1" applyFont="1" applyFill="1" applyBorder="1" applyAlignment="1">
      <x:alignment horizontal="right" vertical="center" wrapText="1"/>
    </x:xf>
    <x:xf numFmtId="0" fontId="4" fillId="6" borderId="0" xfId="0" applyNumberFormat="1" applyFont="1" applyFill="1" applyBorder="1" applyAlignment="1">
      <x:alignment horizontal="right" vertical="center" wrapText="1"/>
    </x:xf>
    <x:xf numFmtId="0" fontId="0" fillId="7" borderId="0" xfId="0" applyNumberFormat="1" applyFont="1" applyFill="1" applyBorder="1"/>
    <x:xf numFmtId="1" fontId="0" fillId="7" borderId="0" xfId="0" applyNumberFormat="1" applyFont="1" applyFill="1" applyBorder="1"/>
    <x:xf numFmtId="0" fontId="6" fillId="7" borderId="0" xfId="0" applyNumberFormat="1" applyFont="1" applyFill="1" applyBorder="1"/>
    <x:xf numFmtId="1" fontId="6" fillId="7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horizontal="right" vertical="center" wrapText="1"/>
    </x:xf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horizontal="right" vertical="center" wrapText="1"/>
    </x:xf>
    <x:xf numFmtId="0" fontId="0" fillId="9" borderId="0" xfId="0" applyNumberFormat="1" applyFont="1" applyFill="1" applyBorder="1"/>
    <x:xf numFmtId="169" fontId="0" fillId="9" borderId="0" xfId="0" applyNumberFormat="1" applyFont="1" applyFill="1" applyBorder="1"/>
    <x:xf numFmtId="0" fontId="7" fillId="9" borderId="0" xfId="0" applyNumberFormat="1" applyFont="1" applyFill="1" applyBorder="1"/>
    <x:xf numFmtId="169" fontId="7" fillId="9" borderId="0" xfId="0" applyNumberFormat="1" applyFont="1" applyFill="1" applyBorder="1"/>
    <x:xf numFmtId="0" fontId="7" fillId="9" borderId="12" xfId="0" applyNumberFormat="1" applyFont="1" applyFill="1" applyBorder="1"/>
    <x:xf numFmtId="169" fontId="7" fillId="9" borderId="13" xfId="0" applyNumberFormat="1" applyFont="1" applyFill="1" applyBorder="1"/>
    <x:xf numFmtId="169" fontId="7" fillId="9" borderId="14" xfId="0" applyNumberFormat="1" applyFont="1" applyFill="1" applyBorder="1"/>
    <x:xf numFmtId="0" fontId="1" fillId="4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horizontal="right"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4" fillId="4" borderId="0" xfId="0" applyNumberFormat="1" applyFont="1" applyFill="1" applyBorder="1" applyAlignment="1">
      <x:alignment horizontal="right" vertical="center" wrapText="1"/>
    </x:xf>
    <x:xf numFmtId="0" fontId="0" fillId="10" borderId="0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 applyAlignment="1">
      <x:alignment horizontal="right" vertical="center" wrapText="1"/>
    </x:xf>
    <x:xf numFmtId="0" fontId="8" fillId="10" borderId="0" xfId="0" applyNumberFormat="1" applyFont="1" applyFill="1" applyBorder="1" applyAlignment="1">
      <x:alignment vertical="center" wrapText="1"/>
    </x:xf>
    <x:xf numFmtId="0" fontId="8" fillId="10" borderId="0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  <x:dxfs count="2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5bd20bf5c34df7" /><Relationship Type="http://schemas.openxmlformats.org/officeDocument/2006/relationships/theme" Target="/xl/theme/theme1.xml" Id="R06ad34d933734746" /><Relationship Type="http://schemas.openxmlformats.org/officeDocument/2006/relationships/sharedStrings" Target="/xl/sharedStrings.xml" Id="Rffaf8a83c13a4b82" /><Relationship Type="http://schemas.openxmlformats.org/officeDocument/2006/relationships/worksheet" Target="/xl/worksheets/sheet1.xml" Id="R5da05fb74e59498c" /><Relationship Type="http://schemas.openxmlformats.org/officeDocument/2006/relationships/worksheet" Target="/xl/worksheets/sheet2.xml" Id="Rb0e5826219e346de" /><Relationship Type="http://schemas.microsoft.com/office/2017/10/relationships/person" Target="/xl/persons/person.xml" Id="R958fe0e25a3d4307" /></Relationships>
</file>

<file path=xl/persons/person.xml><?xml version="1.0" encoding="utf-8"?>
<xltc:personList xmlns:xltc="http://schemas.microsoft.com/office/spreadsheetml/2018/threadedcomments">
  <xltc:person displayName="Twan" id="{A9B9B4FB-2A7E-402D-9DB7-6B447408CB04}"/>
</xltc: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8aa5a885578a4655" /><Relationship Type="http://schemas.openxmlformats.org/officeDocument/2006/relationships/vmlDrawing" Target="/xl/drawings/vmldrawing.vml" Id="R108da1d3f6474ac9" /></Relationships>
</file>

<file path=xl/worksheets/sheet1.xml><?xml version="1.0" encoding="utf-8"?>
<x:worksheet xmlns:x="http://schemas.openxmlformats.org/spreadsheetml/2006/main">
  <x:sheetFormatPr defaultRowHeight="14.399999618530273"/>
  <x:sheetData>
    <x:row r="1" ht="28.799999237060547">
      <x:c r="A1" s="86" t="s">
        <x:v>0</x:v>
      </x:c>
      <x:c r="B1" s="87" t="s">
        <x:v>1</x:v>
      </x:c>
      <x:c r="C1" s="87" t="s">
        <x:v>2</x:v>
      </x:c>
      <x:c r="D1" s="87" t="s">
        <x:v>3</x:v>
      </x:c>
      <x:c r="E1" s="87" t="s">
        <x:v>4</x:v>
      </x:c>
      <x:c r="F1" s="87" t="s">
        <x:v>5</x:v>
      </x:c>
      <x:c r="G1" s="87" t="s">
        <x:v>6</x:v>
      </x:c>
      <x:c r="H1" s="87" t="s">
        <x:v>7</x:v>
      </x:c>
      <x:c r="I1" s="87" t="s">
        <x:v>8</x:v>
      </x:c>
    </x:row>
    <x:row r="2">
      <x:c r="A2" s="90" t="s">
        <x:v>9</x:v>
      </x:c>
      <x:c r="B2" s="91">
        <x:v>312</x:v>
      </x:c>
      <x:c r="C2" s="91" t="s">
        <x:v>10</x:v>
      </x:c>
      <x:c r="D2" s="91">
        <x:v>0</x:v>
      </x:c>
      <x:c r="E2" s="91" t="s">
        <x:v>11</x:v>
      </x:c>
      <x:c r="F2" s="91" t="s">
        <x:v>12</x:v>
      </x:c>
      <x:c r="G2" s="91" t="s">
        <x:v>13</x:v>
      </x:c>
      <x:c r="H2" s="91" t="s">
        <x:v>14</x:v>
      </x:c>
      <x:c r="I2" s="91" t="s">
        <x:v>15</x:v>
      </x:c>
    </x:row>
    <x:row r="3" ht="43.20000076293945">
      <x:c r="A3" s="90" t="s">
        <x:v>16</x:v>
      </x:c>
      <x:c r="B3" s="91">
        <x:v>396</x:v>
      </x:c>
      <x:c r="C3" s="91">
        <x:v>0</x:v>
      </x:c>
      <x:c r="D3" s="91">
        <x:v>0</x:v>
      </x:c>
      <x:c r="E3" s="91">
        <x:v>99</x:v>
      </x:c>
      <x:c r="F3" s="91">
        <x:v>99</x:v>
      </x:c>
      <x:c r="G3" s="91">
        <x:v>0</x:v>
      </x:c>
      <x:c r="H3" s="91">
        <x:v>0</x:v>
      </x:c>
      <x:c r="I3" s="91">
        <x:v>0</x:v>
      </x:c>
    </x:row>
    <x:row r="4">
      <x:c r="A4" s="90" t="s">
        <x:v>17</x:v>
      </x:c>
      <x:c r="B4" s="91">
        <x:v>0</x:v>
      </x:c>
      <x:c r="C4" s="91">
        <x:v>0</x:v>
      </x:c>
      <x:c r="D4" s="91">
        <x:v>0</x:v>
      </x:c>
      <x:c r="E4" s="91">
        <x:v>0</x:v>
      </x:c>
      <x:c r="F4" s="91">
        <x:v>0</x:v>
      </x:c>
      <x:c r="G4" s="91">
        <x:v>0</x:v>
      </x:c>
      <x:c r="H4" s="91">
        <x:v>0</x:v>
      </x:c>
      <x:c r="I4" s="91" t="s">
        <x:v>18</x:v>
      </x:c>
    </x:row>
    <x:row r="5">
      <x:c r="A5" s="90" t="s">
        <x:v>19</x:v>
      </x:c>
      <x:c r="B5" s="91">
        <x:v>340</x:v>
      </x:c>
      <x:c r="C5" s="91">
        <x:v>1</x:v>
      </x:c>
      <x:c r="D5" s="91">
        <x:v>0</x:v>
      </x:c>
      <x:c r="E5" s="91">
        <x:v>71</x:v>
      </x:c>
      <x:c r="F5" s="91">
        <x:v>1</x:v>
      </x:c>
      <x:c r="G5" s="91">
        <x:v>4</x:v>
      </x:c>
      <x:c r="H5" s="91">
        <x:v>10</x:v>
      </x:c>
      <x:c r="I5" s="91">
        <x:v>0</x:v>
      </x:c>
    </x:row>
    <x:row r="6">
      <x:c r="A6" s="1"/>
      <x:c r="B6" s="1"/>
    </x:row>
    <x:row r="7">
      <x:c r="A7" s="1"/>
      <x:c r="B7" s="1"/>
      <x:c r="K7" s="2"/>
      <x:c r="L7" s="4"/>
      <x:c r="M7" s="4"/>
      <x:c r="N7" s="4"/>
      <x:c r="O7" s="4"/>
      <x:c r="P7" s="4"/>
      <x:c r="Q7" s="4"/>
      <x:c r="R7" s="4"/>
      <x:c r="S7" s="4"/>
    </x:row>
    <x:row r="8">
      <x:c r="A8" s="1"/>
      <x:c r="B8" s="1"/>
      <x:c r="K8" s="1"/>
      <x:c r="L8" s="3"/>
      <x:c r="M8" s="3"/>
      <x:c r="N8" s="3"/>
      <x:c r="O8" s="3"/>
      <x:c r="P8" s="3"/>
      <x:c r="Q8" s="3"/>
      <x:c r="R8" s="3"/>
      <x:c r="S8" s="3"/>
    </x:row>
    <x:row r="9">
      <x:c r="A9" s="1"/>
      <x:c r="B9" s="1"/>
      <x:c r="K9" s="1"/>
      <x:c r="L9" s="3"/>
      <x:c r="M9" s="3"/>
      <x:c r="N9" s="3"/>
      <x:c r="O9" s="3"/>
      <x:c r="P9" s="3"/>
      <x:c r="Q9" s="3"/>
      <x:c r="R9" s="3"/>
      <x:c r="S9" s="3"/>
    </x:row>
    <x:row r="10">
      <x:c r="A10" s="1"/>
      <x:c r="B10" s="1"/>
      <x:c r="K10" s="1"/>
      <x:c r="L10" s="3"/>
      <x:c r="M10" s="3"/>
      <x:c r="N10" s="3"/>
      <x:c r="O10" s="3"/>
      <x:c r="P10" s="3"/>
      <x:c r="Q10" s="3"/>
      <x:c r="R10" s="3"/>
      <x:c r="S10" s="3"/>
    </x:row>
    <x:row r="11">
      <x:c r="I11" s="3"/>
      <x:c r="K11" s="1"/>
      <x:c r="L11" s="3"/>
      <x:c r="M11" s="3"/>
      <x:c r="N11" s="3"/>
      <x:c r="O11" s="3"/>
      <x:c r="P11" s="3"/>
      <x:c r="Q11" s="3"/>
      <x:c r="R11" s="3"/>
      <x:c r="S11" s="3"/>
    </x:row>
    <x:row r="12">
      <x:c r="K12" s="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399999618530273"/>
  <x:cols>
    <x:col min="1" max="1" width="14" customWidth="1"/>
    <x:col min="2" max="2" width="24.21875" customWidth="1"/>
    <x:col min="12" max="12" width="38" hidden="0" customWidth="1"/>
  </x:cols>
  <x:sheetData>
    <x:row r="1" ht="28.799999237060547">
      <x:c r="A1" s="57" t="s">
        <x:v>20</x:v>
      </x:c>
      <x:c r="B1" s="58" t="s">
        <x:v>21</x:v>
      </x:c>
      <x:c r="C1" s="68" t="s">
        <x:v>1</x:v>
      </x:c>
      <x:c r="D1" s="68" t="s">
        <x:v>2</x:v>
      </x:c>
      <x:c r="E1" s="68" t="s">
        <x:v>3</x:v>
      </x:c>
      <x:c r="F1" s="68" t="s">
        <x:v>4</x:v>
      </x:c>
      <x:c r="G1" s="68" t="s">
        <x:v>5</x:v>
      </x:c>
      <x:c r="H1" s="68" t="s">
        <x:v>6</x:v>
      </x:c>
      <x:c r="I1" s="68" t="s">
        <x:v>7</x:v>
      </x:c>
      <x:c r="J1" s="68" t="s">
        <x:v>8</x:v>
      </x:c>
      <x:c r="L1" s="75" t="s">
        <x:v>22</x:v>
      </x:c>
      <x:c r="M1" s="76" t="s">
        <x:v>1</x:v>
      </x:c>
      <x:c r="N1" s="76" t="s">
        <x:v>2</x:v>
      </x:c>
      <x:c r="O1" s="76" t="s">
        <x:v>3</x:v>
      </x:c>
      <x:c r="P1" s="76" t="s">
        <x:v>4</x:v>
      </x:c>
      <x:c r="Q1" s="76" t="s">
        <x:v>5</x:v>
      </x:c>
      <x:c r="R1" s="76" t="s">
        <x:v>6</x:v>
      </x:c>
      <x:c r="S1" s="76" t="s">
        <x:v>7</x:v>
      </x:c>
      <x:c r="T1" s="76" t="s">
        <x:v>8</x:v>
      </x:c>
      <x:c r="U1" s="46" t="str">
        <x:f>"Voedingswaarden per 100 g"&amp;CHAR(10)&amp;"Energie: "&amp;ROUND(M2,0)&amp;" kcal"&amp;CHAR(10)&amp;"Vetten: "&amp;ROUND(N2,1)&amp;" g"&amp;CHAR(10)&amp;"waarvan verzadigde vetzuren: "&amp;ROUND(O2,1)&amp;" g"&amp;CHAR(10)&amp;"Koolhydraten: "&amp;ROUND(P2,1)&amp;" g"&amp;CHAR(10)&amp;"waarvan suikers: "&amp;ROUND(Q2,1)&amp;" g"&amp;CHAR(10)&amp;"Vezels: "&amp;ROUND(R2,1)&amp;" g"&amp;CHAR(10)&amp;"Eiwitten: "&amp;ROUND(S2,1)&amp;" g"&amp;CHAR(10)&amp;"Zout: "&amp;ROUND(T2,1)&amp;" g"</x:f>
        <x:v>Voedingswaarden per 100 g
Energie: 354 kcal
Vetten: 0.6 g
waarvan verzadigde vetzuren: 0 g
Koolhydraten: 80.2 g
waarvan suikers: 38.2 g
Vezels: 2.4 g
Eiwitten: 6 g
Zout: 0 g</x:v>
      </x:c>
      <x:c r="V1" s="47"/>
      <x:c r="W1" s="47"/>
      <x:c r="X1" s="48"/>
    </x:row>
    <x:row r="2">
      <x:c r="A2" s="63" t="s">
        <x:v>9</x:v>
      </x:c>
      <x:c r="B2" s="64">
        <x:v>2.9999999999999997E-4</x:v>
      </x:c>
      <x:c r="C2" s="71" t="n">
        <x:f>IFERROR(_xlfn.XLOOKUP($A2,Database!$A$2:$A$100,Database!B$2:B$100)*$B2,0)</x:f>
        <x:v>0.09359999999999999</x:v>
      </x:c>
      <x:c r="D2" s="72" t="n">
        <x:f>IFERROR(_xlfn.XLOOKUP($A2,Database!$A$2:$A$100,Database!C$2:C$100)*$B2,0)</x:f>
        <x:v>0</x:v>
      </x:c>
      <x:c r="E2" s="71" t="n">
        <x:f>IFERROR(_xlfn.XLOOKUP($A2,Database!$A$2:$A$100,Database!D$2:D$100)*$B2,0)</x:f>
        <x:v>0</x:v>
      </x:c>
      <x:c r="F2" s="71" t="n">
        <x:f>IFERROR(_xlfn.XLOOKUP($A2,Database!$A$2:$A$100,Database!E$2:E$100)*$B2,0)</x:f>
        <x:v>0</x:v>
      </x:c>
      <x:c r="G2" s="71" t="n">
        <x:f>IFERROR(_xlfn.XLOOKUP($A2,Database!$A$2:$A$100,Database!F$2:F$100)*$B2,0)</x:f>
        <x:v>0</x:v>
      </x:c>
      <x:c r="H2" s="71" t="n">
        <x:f>IFERROR(_xlfn.XLOOKUP($A2,Database!$A$2:$A$100,Database!G$2:G$100)*$B2,0)</x:f>
        <x:v>0</x:v>
      </x:c>
      <x:c r="I2" s="71" t="n">
        <x:f>IFERROR(_xlfn.XLOOKUP($A2,Database!$A$2:$A$100,Database!H$2:H$100)*$B2,0)</x:f>
        <x:v>0</x:v>
      </x:c>
      <x:c r="J2" s="71" t="n">
        <x:f>IFERROR(_xlfn.XLOOKUP($A2,Database!$A$2:$A$100,Database!I$2:I$100)*$B2,0)</x:f>
        <x:v>0</x:v>
      </x:c>
      <x:c r="L2" s="81" t="str">
        <x:f>IF(ABS(SUM(B2:B100)-100%)&lt;0.0001,"Correct","Precentages moet 100% zijn")</x:f>
        <x:v>Correct</x:v>
      </x:c>
      <x:c r="M2" s="82" t="n">
        <x:f>SUM(C2:C100)</x:f>
        <x:v>354.47159999999997</x:v>
      </x:c>
      <x:c r="N2" s="82" t="n">
        <x:f>SUM(D2:D100)</x:f>
        <x:v>0.5997</x:v>
      </x:c>
      <x:c r="O2" s="82" t="n">
        <x:f t="shared" ref="O2:T2" si="0">SUM(E2:E100)</x:f>
        <x:v>0</x:v>
      </x:c>
      <x:c r="P2" s="82">
        <x:f t="shared" si="0"/>
        <x:v>80.198700000000002</x:v>
      </x:c>
      <x:c r="Q2" s="82">
        <x:f t="shared" si="0"/>
        <x:v>38.219699999999996</x:v>
      </x:c>
      <x:c r="R2" s="82">
        <x:f t="shared" si="0"/>
        <x:v>2.3988</x:v>
      </x:c>
      <x:c r="S2" s="82">
        <x:f t="shared" si="0"/>
        <x:v>5.9969999999999999</x:v>
      </x:c>
      <x:c r="T2" s="83">
        <x:f t="shared" si="0"/>
        <x:v>0</x:v>
      </x:c>
      <x:c r="U2" s="49"/>
      <x:c r="V2" s="50"/>
      <x:c r="W2" s="50"/>
      <x:c r="X2" s="51"/>
    </x:row>
    <x:row r="3">
      <x:c r="A3" s="63" t="s">
        <x:v>16</x:v>
      </x:c>
      <x:c r="B3" s="65">
        <x:v>0.38</x:v>
      </x:c>
      <x:c r="C3" s="71" t="n">
        <x:f>IFERROR(_xlfn.XLOOKUP($A3,Database!$A$2:$A$100,Database!B$2:B$100)*$B3,0)</x:f>
        <x:v>150.48</x:v>
      </x:c>
      <x:c r="D3" s="71" t="n">
        <x:f>IFERROR(_xlfn.XLOOKUP($A3,Database!$A$2:$A$100,Database!C$2:C$100)*$B3,0)</x:f>
        <x:v>0</x:v>
      </x:c>
      <x:c r="E3" s="71" t="n">
        <x:f>IFERROR(_xlfn.XLOOKUP($A3,Database!$A$2:$A$100,Database!D$2:D$100)*$B3,0)</x:f>
        <x:v>0</x:v>
      </x:c>
      <x:c r="F3" s="71" t="n">
        <x:f>IFERROR(_xlfn.XLOOKUP($A3,Database!$A$2:$A$100,Database!E$2:E$100)*$B3,0)</x:f>
        <x:v>37.62</x:v>
      </x:c>
      <x:c r="G3" s="71" t="n">
        <x:f>IFERROR(_xlfn.XLOOKUP($A3,Database!$A$2:$A$100,Database!F$2:F$100)*$B3,0)</x:f>
        <x:v>37.62</x:v>
      </x:c>
      <x:c r="H3" s="71" t="n">
        <x:f>IFERROR(_xlfn.XLOOKUP($A3,Database!$A$2:$A$100,Database!G$2:G$100)*$B3,0)</x:f>
        <x:v>0</x:v>
      </x:c>
      <x:c r="I3" s="71" t="n">
        <x:f>IFERROR(_xlfn.XLOOKUP($A3,Database!$A$2:$A$100,Database!H$2:H$100)*$B3,0)</x:f>
        <x:v>0</x:v>
      </x:c>
      <x:c r="J3" s="71" t="n">
        <x:f>IFERROR(_xlfn.XLOOKUP($A3,Database!$A$2:$A$100,Database!I$2:I$100)*$B3,0)</x:f>
        <x:v>0</x:v>
      </x:c>
      <x:c r="U3" s="49"/>
      <x:c r="V3" s="50"/>
      <x:c r="W3" s="50"/>
      <x:c r="X3" s="51"/>
    </x:row>
    <x:row r="4">
      <x:c r="A4" s="63" t="s">
        <x:v>17</x:v>
      </x:c>
      <x:c r="B4" s="65">
        <x:v>0.02</x:v>
      </x:c>
      <x:c r="C4" s="71" t="n">
        <x:f>IFERROR(_xlfn.XLOOKUP($A4,Database!$A$2:$A$100,Database!B$2:B$100)*$B4,0)</x:f>
        <x:v>0</x:v>
      </x:c>
      <x:c r="D4" s="71" t="n">
        <x:f>IFERROR(_xlfn.XLOOKUP($A4,Database!$A$2:$A$100,Database!C$2:C$100)*$B4,0)</x:f>
        <x:v>0</x:v>
      </x:c>
      <x:c r="E4" s="71" t="n">
        <x:f>IFERROR(_xlfn.XLOOKUP($A4,Database!$A$2:$A$100,Database!D$2:D$100)*$B4,0)</x:f>
        <x:v>0</x:v>
      </x:c>
      <x:c r="F4" s="71" t="n">
        <x:f>IFERROR(_xlfn.XLOOKUP($A4,Database!$A$2:$A$100,Database!E$2:E$100)*$B4,0)</x:f>
        <x:v>0</x:v>
      </x:c>
      <x:c r="G4" s="71" t="n">
        <x:f>IFERROR(_xlfn.XLOOKUP($A4,Database!$A$2:$A$100,Database!F$2:F$100)*$B4,0)</x:f>
        <x:v>0</x:v>
      </x:c>
      <x:c r="H4" s="71" t="n">
        <x:f>IFERROR(_xlfn.XLOOKUP($A4,Database!$A$2:$A$100,Database!G$2:G$100)*$B4,0)</x:f>
        <x:v>0</x:v>
      </x:c>
      <x:c r="I4" s="71" t="n">
        <x:f>IFERROR(_xlfn.XLOOKUP($A4,Database!$A$2:$A$100,Database!H$2:H$100)*$B4,0)</x:f>
        <x:v>0</x:v>
      </x:c>
      <x:c r="J4" s="71" t="n">
        <x:f>IFERROR(_xlfn.XLOOKUP($A4,Database!$A$2:$A$100,Database!I$2:I$100)*$B4,0)</x:f>
        <x:v>0</x:v>
      </x:c>
      <x:c r="U4" s="49"/>
      <x:c r="V4" s="50"/>
      <x:c r="W4" s="50"/>
      <x:c r="X4" s="51"/>
    </x:row>
    <x:row r="5">
      <x:c r="A5" s="63" t="s">
        <x:v>19</x:v>
      </x:c>
      <x:c r="B5" s="64">
        <x:v>0.59970000000000001</x:v>
      </x:c>
      <x:c r="C5" s="71" t="n">
        <x:f>IFERROR(_xlfn.XLOOKUP($A5,Database!$A$2:$A$100,Database!B$2:B$100)*$B5,0)</x:f>
        <x:v>203.898</x:v>
      </x:c>
      <x:c r="D5" s="71" t="n">
        <x:f>IFERROR(_xlfn.XLOOKUP($A5,Database!$A$2:$A$100,Database!C$2:C$100)*$B5,0)</x:f>
        <x:v>0.5997</x:v>
      </x:c>
      <x:c r="E5" s="71" t="n">
        <x:f>IFERROR(_xlfn.XLOOKUP($A5,Database!$A$2:$A$100,Database!D$2:D$100)*$B5,0)</x:f>
        <x:v>0</x:v>
      </x:c>
      <x:c r="F5" s="71" t="n">
        <x:f>IFERROR(_xlfn.XLOOKUP($A5,Database!$A$2:$A$100,Database!E$2:E$100)*$B5,0)</x:f>
        <x:v>42.5787</x:v>
      </x:c>
      <x:c r="G5" s="71" t="n">
        <x:f>IFERROR(_xlfn.XLOOKUP($A5,Database!$A$2:$A$100,Database!F$2:F$100)*$B5,0)</x:f>
        <x:v>0.5997</x:v>
      </x:c>
      <x:c r="H5" s="71" t="n">
        <x:f>IFERROR(_xlfn.XLOOKUP($A5,Database!$A$2:$A$100,Database!G$2:G$100)*$B5,0)</x:f>
        <x:v>2.3988</x:v>
      </x:c>
      <x:c r="I5" s="71" t="n">
        <x:f>IFERROR(_xlfn.XLOOKUP($A5,Database!$A$2:$A$100,Database!H$2:H$100)*$B5,0)</x:f>
        <x:v>5.997</x:v>
      </x:c>
      <x:c r="J5" s="71" t="n">
        <x:f>IFERROR(_xlfn.XLOOKUP($A5,Database!$A$2:$A$100,Database!I$2:I$100)*$B5,0)</x:f>
        <x:v>0</x:v>
      </x:c>
      <x:c r="U5" s="49"/>
      <x:c r="V5" s="50"/>
      <x:c r="W5" s="50"/>
      <x:c r="X5" s="51"/>
    </x:row>
    <x:row r="6">
      <x:c r="A6" s="63"/>
      <x:c r="B6" s="66"/>
      <x:c r="C6" s="71" t="n">
        <x:f>IFERROR(_xlfn.XLOOKUP($A6,Database!$A$2:$A$100,Database!B$2:B$100)*$B6,0)</x:f>
        <x:v>0</x:v>
      </x:c>
      <x:c r="D6" s="71" t="n">
        <x:f>IFERROR(_xlfn.XLOOKUP($A6,Database!$A$2:$A$100,Database!C$2:C$100)*$B6,0)</x:f>
        <x:v>0</x:v>
      </x:c>
      <x:c r="E6" s="71" t="n">
        <x:f>IFERROR(_xlfn.XLOOKUP($A6,Database!$A$2:$A$100,Database!D$2:D$100)*$B6,0)</x:f>
        <x:v>0</x:v>
      </x:c>
      <x:c r="F6" s="71" t="n">
        <x:f>IFERROR(_xlfn.XLOOKUP($A6,Database!$A$2:$A$100,Database!E$2:E$100)*$B6,0)</x:f>
        <x:v>0</x:v>
      </x:c>
      <x:c r="G6" s="71" t="n">
        <x:f>IFERROR(_xlfn.XLOOKUP($A6,Database!$A$2:$A$100,Database!F$2:F$100)*$B6,0)</x:f>
        <x:v>0</x:v>
      </x:c>
      <x:c r="H6" s="71" t="n">
        <x:f>IFERROR(_xlfn.XLOOKUP($A6,Database!$A$2:$A$100,Database!G$2:G$100)*$B6,0)</x:f>
        <x:v>0</x:v>
      </x:c>
      <x:c r="I6" s="71" t="n">
        <x:f>IFERROR(_xlfn.XLOOKUP($A6,Database!$A$2:$A$100,Database!H$2:H$100)*$B6,0)</x:f>
        <x:v>0</x:v>
      </x:c>
      <x:c r="J6" s="71" t="n">
        <x:f>IFERROR(_xlfn.XLOOKUP($A6,Database!$A$2:$A$100,Database!I$2:I$100)*$B6,0)</x:f>
        <x:v>0</x:v>
      </x:c>
      <x:c r="U6" s="49"/>
      <x:c r="V6" s="50"/>
      <x:c r="W6" s="50"/>
      <x:c r="X6" s="51"/>
    </x:row>
    <x:row r="7">
      <x:c r="A7" s="63"/>
      <x:c r="B7" s="66"/>
      <x:c r="C7" s="71" t="n">
        <x:f>IFERROR(_xlfn.XLOOKUP($A7,Database!$A$2:$A$100,Database!B$2:B$100)*$B7,0)</x:f>
        <x:v>0</x:v>
      </x:c>
      <x:c r="D7" s="71" t="n">
        <x:f>IFERROR(_xlfn.XLOOKUP($A7,Database!$A$2:$A$100,Database!C$2:C$100)*$B7,0)</x:f>
        <x:v>0</x:v>
      </x:c>
      <x:c r="E7" s="71" t="n">
        <x:f>IFERROR(_xlfn.XLOOKUP($A7,Database!$A$2:$A$100,Database!D$2:D$100)*$B7,0)</x:f>
        <x:v>0</x:v>
      </x:c>
      <x:c r="F7" s="71" t="n">
        <x:f>IFERROR(_xlfn.XLOOKUP($A7,Database!$A$2:$A$100,Database!E$2:E$100)*$B7,0)</x:f>
        <x:v>0</x:v>
      </x:c>
      <x:c r="G7" s="71" t="n">
        <x:f>IFERROR(_xlfn.XLOOKUP($A7,Database!$A$2:$A$100,Database!F$2:F$100)*$B7,0)</x:f>
        <x:v>0</x:v>
      </x:c>
      <x:c r="H7" s="71" t="n">
        <x:f>IFERROR(_xlfn.XLOOKUP($A7,Database!$A$2:$A$100,Database!G$2:G$100)*$B7,0)</x:f>
        <x:v>0</x:v>
      </x:c>
      <x:c r="I7" s="71" t="n">
        <x:f>IFERROR(_xlfn.XLOOKUP($A7,Database!$A$2:$A$100,Database!H$2:H$100)*$B7,0)</x:f>
        <x:v>0</x:v>
      </x:c>
      <x:c r="J7" s="71" t="n">
        <x:f>IFERROR(_xlfn.XLOOKUP($A7,Database!$A$2:$A$100,Database!I$2:I$100)*$B7,0)</x:f>
        <x:v>0</x:v>
      </x:c>
      <x:c r="U7" s="49"/>
      <x:c r="V7" s="50"/>
      <x:c r="W7" s="50"/>
      <x:c r="X7" s="51"/>
    </x:row>
    <x:row r="8">
      <x:c r="A8" s="63"/>
      <x:c r="B8" s="66"/>
      <x:c r="C8" s="71" t="n">
        <x:f>IFERROR(_xlfn.XLOOKUP($A8,Database!$A$2:$A$100,Database!B$2:B$100)*$B8,0)</x:f>
        <x:v>0</x:v>
      </x:c>
      <x:c r="D8" s="71" t="n">
        <x:f>IFERROR(_xlfn.XLOOKUP($A8,Database!$A$2:$A$100,Database!C$2:C$100)*$B8,0)</x:f>
        <x:v>0</x:v>
      </x:c>
      <x:c r="E8" s="71" t="n">
        <x:f>IFERROR(_xlfn.XLOOKUP($A8,Database!$A$2:$A$100,Database!D$2:D$100)*$B8,0)</x:f>
        <x:v>0</x:v>
      </x:c>
      <x:c r="F8" s="71" t="n">
        <x:f>IFERROR(_xlfn.XLOOKUP($A8,Database!$A$2:$A$100,Database!E$2:E$100)*$B8,0)</x:f>
        <x:v>0</x:v>
      </x:c>
      <x:c r="G8" s="71" t="n">
        <x:f>IFERROR(_xlfn.XLOOKUP($A8,Database!$A$2:$A$100,Database!F$2:F$100)*$B8,0)</x:f>
        <x:v>0</x:v>
      </x:c>
      <x:c r="H8" s="71" t="n">
        <x:f>IFERROR(_xlfn.XLOOKUP($A8,Database!$A$2:$A$100,Database!G$2:G$100)*$B8,0)</x:f>
        <x:v>0</x:v>
      </x:c>
      <x:c r="I8" s="71" t="n">
        <x:f>IFERROR(_xlfn.XLOOKUP($A8,Database!$A$2:$A$100,Database!H$2:H$100)*$B8,0)</x:f>
        <x:v>0</x:v>
      </x:c>
      <x:c r="J8" s="71" t="n">
        <x:f>IFERROR(_xlfn.XLOOKUP($A8,Database!$A$2:$A$100,Database!I$2:I$100)*$B8,0)</x:f>
        <x:v>0</x:v>
      </x:c>
      <x:c r="U8" s="49"/>
      <x:c r="V8" s="50"/>
      <x:c r="W8" s="50"/>
      <x:c r="X8" s="51"/>
    </x:row>
    <x:row r="9">
      <x:c r="A9" s="63"/>
      <x:c r="B9" s="66"/>
      <x:c r="C9" s="71" t="n">
        <x:f>IFERROR(_xlfn.XLOOKUP($A9,Database!$A$2:$A$100,Database!B$2:B$100)*$B9,0)</x:f>
        <x:v>0</x:v>
      </x:c>
      <x:c r="D9" s="71" t="n">
        <x:f>IFERROR(_xlfn.XLOOKUP($A9,Database!$A$2:$A$100,Database!C$2:C$100)*$B9,0)</x:f>
        <x:v>0</x:v>
      </x:c>
      <x:c r="E9" s="71" t="n">
        <x:f>IFERROR(_xlfn.XLOOKUP($A9,Database!$A$2:$A$100,Database!D$2:D$100)*$B9,0)</x:f>
        <x:v>0</x:v>
      </x:c>
      <x:c r="F9" s="71" t="n">
        <x:f>IFERROR(_xlfn.XLOOKUP($A9,Database!$A$2:$A$100,Database!E$2:E$100)*$B9,0)</x:f>
        <x:v>0</x:v>
      </x:c>
      <x:c r="G9" s="71" t="n">
        <x:f>IFERROR(_xlfn.XLOOKUP($A9,Database!$A$2:$A$100,Database!F$2:F$100)*$B9,0)</x:f>
        <x:v>0</x:v>
      </x:c>
      <x:c r="H9" s="71" t="n">
        <x:f>IFERROR(_xlfn.XLOOKUP($A9,Database!$A$2:$A$100,Database!G$2:G$100)*$B9,0)</x:f>
        <x:v>0</x:v>
      </x:c>
      <x:c r="I9" s="71" t="n">
        <x:f>IFERROR(_xlfn.XLOOKUP($A9,Database!$A$2:$A$100,Database!H$2:H$100)*$B9,0)</x:f>
        <x:v>0</x:v>
      </x:c>
      <x:c r="J9" s="71" t="n">
        <x:f>IFERROR(_xlfn.XLOOKUP($A9,Database!$A$2:$A$100,Database!I$2:I$100)*$B9,0)</x:f>
        <x:v>0</x:v>
      </x:c>
      <x:c r="U9" s="52"/>
      <x:c r="V9" s="53"/>
      <x:c r="W9" s="53"/>
      <x:c r="X9" s="54"/>
    </x:row>
    <x:row r="10" ht="18" customHeight="1">
      <x:c r="A10" s="63"/>
      <x:c r="B10" s="66"/>
      <x:c r="C10" s="71" t="n">
        <x:f>IFERROR(_xlfn.XLOOKUP($A10,Database!$A$2:$A$100,Database!B$2:B$100)*$B10,0)</x:f>
        <x:v>0</x:v>
      </x:c>
      <x:c r="D10" s="71" t="n">
        <x:f>IFERROR(_xlfn.XLOOKUP($A10,Database!$A$2:$A$100,Database!C$2:C$100)*$B10,0)</x:f>
        <x:v>0</x:v>
      </x:c>
      <x:c r="E10" s="71" t="n">
        <x:f>IFERROR(_xlfn.XLOOKUP($A10,Database!$A$2:$A$100,Database!D$2:D$100)*$B10,0)</x:f>
        <x:v>0</x:v>
      </x:c>
      <x:c r="F10" s="71" t="n">
        <x:f>IFERROR(_xlfn.XLOOKUP($A10,Database!$A$2:$A$100,Database!E$2:E$100)*$B10,0)</x:f>
        <x:v>0</x:v>
      </x:c>
      <x:c r="G10" s="71" t="n">
        <x:f>IFERROR(_xlfn.XLOOKUP($A10,Database!$A$2:$A$100,Database!F$2:F$100)*$B10,0)</x:f>
        <x:v>0</x:v>
      </x:c>
      <x:c r="H10" s="71" t="n">
        <x:f>IFERROR(_xlfn.XLOOKUP($A10,Database!$A$2:$A$100,Database!G$2:G$100)*$B10,0)</x:f>
        <x:v>0</x:v>
      </x:c>
      <x:c r="I10" s="71" t="n">
        <x:f>IFERROR(_xlfn.XLOOKUP($A10,Database!$A$2:$A$100,Database!H$2:H$100)*$B10,0)</x:f>
        <x:v>0</x:v>
      </x:c>
      <x:c r="J10" s="71" t="n">
        <x:f>IFERROR(_xlfn.XLOOKUP($A10,Database!$A$2:$A$100,Database!I$2:I$100)*$B10,0)</x:f>
        <x:v>0</x:v>
      </x:c>
      <x:c r="L10"/>
    </x:row>
    <x:row r="11">
      <x:c r="A11" s="63"/>
      <x:c r="B11" s="66"/>
      <x:c r="C11" s="71" t="n">
        <x:f>IFERROR(_xlfn.XLOOKUP($A11,Database!$A$2:$A$100,Database!B$2:B$100)*$B11,0)</x:f>
        <x:v>0</x:v>
      </x:c>
      <x:c r="D11" s="71" t="n">
        <x:f>IFERROR(_xlfn.XLOOKUP($A11,Database!$A$2:$A$100,Database!C$2:C$100)*$B11,0)</x:f>
        <x:v>0</x:v>
      </x:c>
      <x:c r="E11" s="71" t="n">
        <x:f>IFERROR(_xlfn.XLOOKUP($A11,Database!$A$2:$A$100,Database!D$2:D$100)*$B11,0)</x:f>
        <x:v>0</x:v>
      </x:c>
      <x:c r="F11" s="71" t="n">
        <x:f>IFERROR(_xlfn.XLOOKUP($A11,Database!$A$2:$A$100,Database!E$2:E$100)*$B11,0)</x:f>
        <x:v>0</x:v>
      </x:c>
      <x:c r="G11" s="71" t="n">
        <x:f>IFERROR(_xlfn.XLOOKUP($A11,Database!$A$2:$A$100,Database!F$2:F$100)*$B11,0)</x:f>
        <x:v>0</x:v>
      </x:c>
      <x:c r="H11" s="71" t="n">
        <x:f>IFERROR(_xlfn.XLOOKUP($A11,Database!$A$2:$A$100,Database!G$2:G$100)*$B11,0)</x:f>
        <x:v>0</x:v>
      </x:c>
      <x:c r="I11" s="71" t="n">
        <x:f>IFERROR(_xlfn.XLOOKUP($A11,Database!$A$2:$A$100,Database!H$2:H$100)*$B11,0)</x:f>
        <x:v>0</x:v>
      </x:c>
      <x:c r="J11" s="71" t="n">
        <x:f>IFERROR(_xlfn.XLOOKUP($A11,Database!$A$2:$A$100,Database!I$2:I$100)*$B11,0)</x:f>
        <x:v>0</x:v>
      </x:c>
    </x:row>
    <x:row r="12">
      <x:c r="A12" s="63"/>
      <x:c r="B12" s="66"/>
      <x:c r="C12" s="71" t="n">
        <x:f>IFERROR(_xlfn.XLOOKUP($A12,Database!$A$2:$A$100,Database!B$2:B$100)*$B12,0)</x:f>
        <x:v>0</x:v>
      </x:c>
      <x:c r="D12" s="71" t="n">
        <x:f>IFERROR(_xlfn.XLOOKUP($A12,Database!$A$2:$A$100,Database!C$2:C$100)*$B12,0)</x:f>
        <x:v>0</x:v>
      </x:c>
      <x:c r="E12" s="71" t="n">
        <x:f>IFERROR(_xlfn.XLOOKUP($A12,Database!$A$2:$A$100,Database!D$2:D$100)*$B12,0)</x:f>
        <x:v>0</x:v>
      </x:c>
      <x:c r="F12" s="71" t="n">
        <x:f>IFERROR(_xlfn.XLOOKUP($A12,Database!$A$2:$A$100,Database!E$2:E$100)*$B12,0)</x:f>
        <x:v>0</x:v>
      </x:c>
      <x:c r="G12" s="71" t="n">
        <x:f>IFERROR(_xlfn.XLOOKUP($A12,Database!$A$2:$A$100,Database!F$2:F$100)*$B12,0)</x:f>
        <x:v>0</x:v>
      </x:c>
      <x:c r="H12" s="71" t="n">
        <x:f>IFERROR(_xlfn.XLOOKUP($A12,Database!$A$2:$A$100,Database!G$2:G$100)*$B12,0)</x:f>
        <x:v>0</x:v>
      </x:c>
      <x:c r="I12" s="71" t="n">
        <x:f>IFERROR(_xlfn.XLOOKUP($A12,Database!$A$2:$A$100,Database!H$2:H$100)*$B12,0)</x:f>
        <x:v>0</x:v>
      </x:c>
      <x:c r="J12" s="71" t="n">
        <x:f>IFERROR(_xlfn.XLOOKUP($A12,Database!$A$2:$A$100,Database!I$2:I$100)*$B12,0)</x:f>
        <x:v>0</x:v>
      </x:c>
      <x:c r="L12" s="2"/>
      <x:c r="M12" s="4"/>
    </x:row>
    <x:row r="13">
      <x:c r="A13" s="63"/>
      <x:c r="B13" s="66"/>
      <x:c r="C13" s="71" t="n">
        <x:f>IFERROR(_xlfn.XLOOKUP($A13,Database!$A$2:$A$100,Database!B$2:B$100)*$B13,0)</x:f>
        <x:v>0</x:v>
      </x:c>
      <x:c r="D13" s="71" t="n">
        <x:f>IFERROR(_xlfn.XLOOKUP($A13,Database!$A$2:$A$100,Database!C$2:C$100)*$B13,0)</x:f>
        <x:v>0</x:v>
      </x:c>
      <x:c r="E13" s="71" t="n">
        <x:f>IFERROR(_xlfn.XLOOKUP($A13,Database!$A$2:$A$100,Database!D$2:D$100)*$B13,0)</x:f>
        <x:v>0</x:v>
      </x:c>
      <x:c r="F13" s="71" t="n">
        <x:f>IFERROR(_xlfn.XLOOKUP($A13,Database!$A$2:$A$100,Database!E$2:E$100)*$B13,0)</x:f>
        <x:v>0</x:v>
      </x:c>
      <x:c r="G13" s="71" t="n">
        <x:f>IFERROR(_xlfn.XLOOKUP($A13,Database!$A$2:$A$100,Database!F$2:F$100)*$B13,0)</x:f>
        <x:v>0</x:v>
      </x:c>
      <x:c r="H13" s="71" t="n">
        <x:f>IFERROR(_xlfn.XLOOKUP($A13,Database!$A$2:$A$100,Database!G$2:G$100)*$B13,0)</x:f>
        <x:v>0</x:v>
      </x:c>
      <x:c r="I13" s="71" t="n">
        <x:f>IFERROR(_xlfn.XLOOKUP($A13,Database!$A$2:$A$100,Database!H$2:H$100)*$B13,0)</x:f>
        <x:v>0</x:v>
      </x:c>
      <x:c r="J13" s="71" t="n">
        <x:f>IFERROR(_xlfn.XLOOKUP($A13,Database!$A$2:$A$100,Database!I$2:I$100)*$B13,0)</x:f>
        <x:v>0</x:v>
      </x:c>
      <x:c r="L13" s="1"/>
      <x:c r="M13" s="8"/>
    </x:row>
    <x:row r="14">
      <x:c r="A14" s="63"/>
      <x:c r="B14" s="66"/>
      <x:c r="C14" s="71" t="n">
        <x:f>IFERROR(_xlfn.XLOOKUP($A14,Database!$A$2:$A$100,Database!B$2:B$100)*$B14,0)</x:f>
        <x:v>0</x:v>
      </x:c>
      <x:c r="D14" s="71" t="n">
        <x:f>IFERROR(_xlfn.XLOOKUP($A14,Database!$A$2:$A$100,Database!C$2:C$100)*$B14,0)</x:f>
        <x:v>0</x:v>
      </x:c>
      <x:c r="E14" s="71" t="n">
        <x:f>IFERROR(_xlfn.XLOOKUP($A14,Database!$A$2:$A$100,Database!D$2:D$100)*$B14,0)</x:f>
        <x:v>0</x:v>
      </x:c>
      <x:c r="F14" s="71" t="n">
        <x:f>IFERROR(_xlfn.XLOOKUP($A14,Database!$A$2:$A$100,Database!E$2:E$100)*$B14,0)</x:f>
        <x:v>0</x:v>
      </x:c>
      <x:c r="G14" s="71" t="n">
        <x:f>IFERROR(_xlfn.XLOOKUP($A14,Database!$A$2:$A$100,Database!F$2:F$100)*$B14,0)</x:f>
        <x:v>0</x:v>
      </x:c>
      <x:c r="H14" s="71" t="n">
        <x:f>IFERROR(_xlfn.XLOOKUP($A14,Database!$A$2:$A$100,Database!G$2:G$100)*$B14,0)</x:f>
        <x:v>0</x:v>
      </x:c>
      <x:c r="I14" s="71" t="n">
        <x:f>IFERROR(_xlfn.XLOOKUP($A14,Database!$A$2:$A$100,Database!H$2:H$100)*$B14,0)</x:f>
        <x:v>0</x:v>
      </x:c>
      <x:c r="J14" s="71" t="n">
        <x:f>IFERROR(_xlfn.XLOOKUP($A14,Database!$A$2:$A$100,Database!I$2:I$100)*$B14,0)</x:f>
        <x:v>0</x:v>
      </x:c>
      <x:c r="L14" s="1"/>
      <x:c r="M14" s="6"/>
    </x:row>
    <x:row r="15">
      <x:c r="A15" s="63"/>
      <x:c r="B15" s="66"/>
      <x:c r="C15" s="71" t="n">
        <x:f>IFERROR(_xlfn.XLOOKUP($A15,Database!$A$2:$A$100,Database!B$2:B$100)*$B15,0)</x:f>
        <x:v>0</x:v>
      </x:c>
      <x:c r="D15" s="71" t="n">
        <x:f>IFERROR(_xlfn.XLOOKUP($A15,Database!$A$2:$A$100,Database!C$2:C$100)*$B15,0)</x:f>
        <x:v>0</x:v>
      </x:c>
      <x:c r="E15" s="71" t="n">
        <x:f>IFERROR(_xlfn.XLOOKUP($A15,Database!$A$2:$A$100,Database!D$2:D$100)*$B15,0)</x:f>
        <x:v>0</x:v>
      </x:c>
      <x:c r="F15" s="71" t="n">
        <x:f>IFERROR(_xlfn.XLOOKUP($A15,Database!$A$2:$A$100,Database!E$2:E$100)*$B15,0)</x:f>
        <x:v>0</x:v>
      </x:c>
      <x:c r="G15" s="71" t="n">
        <x:f>IFERROR(_xlfn.XLOOKUP($A15,Database!$A$2:$A$100,Database!F$2:F$100)*$B15,0)</x:f>
        <x:v>0</x:v>
      </x:c>
      <x:c r="H15" s="71" t="n">
        <x:f>IFERROR(_xlfn.XLOOKUP($A15,Database!$A$2:$A$100,Database!G$2:G$100)*$B15,0)</x:f>
        <x:v>0</x:v>
      </x:c>
      <x:c r="I15" s="71" t="n">
        <x:f>IFERROR(_xlfn.XLOOKUP($A15,Database!$A$2:$A$100,Database!H$2:H$100)*$B15,0)</x:f>
        <x:v>0</x:v>
      </x:c>
      <x:c r="J15" s="71" t="n">
        <x:f>IFERROR(_xlfn.XLOOKUP($A15,Database!$A$2:$A$100,Database!I$2:I$100)*$B15,0)</x:f>
        <x:v>0</x:v>
      </x:c>
      <x:c r="L15" s="1"/>
      <x:c r="M15" s="6"/>
    </x:row>
    <x:row r="16">
      <x:c r="A16" s="63"/>
      <x:c r="B16" s="66"/>
      <x:c r="C16" s="71" t="n">
        <x:f>IFERROR(_xlfn.XLOOKUP($A16,Database!$A$2:$A$100,Database!B$2:B$100)*$B16,0)</x:f>
        <x:v>0</x:v>
      </x:c>
      <x:c r="D16" s="71" t="n">
        <x:f>IFERROR(_xlfn.XLOOKUP($A16,Database!$A$2:$A$100,Database!C$2:C$100)*$B16,0)</x:f>
        <x:v>0</x:v>
      </x:c>
      <x:c r="E16" s="71" t="n">
        <x:f>IFERROR(_xlfn.XLOOKUP($A16,Database!$A$2:$A$100,Database!D$2:D$100)*$B16,0)</x:f>
        <x:v>0</x:v>
      </x:c>
      <x:c r="F16" s="71" t="n">
        <x:f>IFERROR(_xlfn.XLOOKUP($A16,Database!$A$2:$A$100,Database!E$2:E$100)*$B16,0)</x:f>
        <x:v>0</x:v>
      </x:c>
      <x:c r="G16" s="71" t="n">
        <x:f>IFERROR(_xlfn.XLOOKUP($A16,Database!$A$2:$A$100,Database!F$2:F$100)*$B16,0)</x:f>
        <x:v>0</x:v>
      </x:c>
      <x:c r="H16" s="71" t="n">
        <x:f>IFERROR(_xlfn.XLOOKUP($A16,Database!$A$2:$A$100,Database!G$2:G$100)*$B16,0)</x:f>
        <x:v>0</x:v>
      </x:c>
      <x:c r="I16" s="71" t="n">
        <x:f>IFERROR(_xlfn.XLOOKUP($A16,Database!$A$2:$A$100,Database!H$2:H$100)*$B16,0)</x:f>
        <x:v>0</x:v>
      </x:c>
      <x:c r="J16" s="71" t="n">
        <x:f>IFERROR(_xlfn.XLOOKUP($A16,Database!$A$2:$A$100,Database!I$2:I$100)*$B16,0)</x:f>
        <x:v>0</x:v>
      </x:c>
      <x:c r="L16" s="1"/>
      <x:c r="M16" s="8"/>
      <x:c r="O16" s="2"/>
      <x:c r="P16" s="4"/>
    </x:row>
    <x:row r="17">
      <x:c r="A17" s="63"/>
      <x:c r="B17" s="66"/>
      <x:c r="C17" s="71" t="n">
        <x:f>IFERROR(_xlfn.XLOOKUP($A17,Database!$A$2:$A$100,Database!B$2:B$100)*$B17,0)</x:f>
        <x:v>0</x:v>
      </x:c>
      <x:c r="D17" s="71" t="n">
        <x:f>IFERROR(_xlfn.XLOOKUP($A17,Database!$A$2:$A$100,Database!C$2:C$100)*$B17,0)</x:f>
        <x:v>0</x:v>
      </x:c>
      <x:c r="E17" s="71" t="n">
        <x:f>IFERROR(_xlfn.XLOOKUP($A17,Database!$A$2:$A$100,Database!D$2:D$100)*$B17,0)</x:f>
        <x:v>0</x:v>
      </x:c>
      <x:c r="F17" s="71" t="n">
        <x:f>IFERROR(_xlfn.XLOOKUP($A17,Database!$A$2:$A$100,Database!E$2:E$100)*$B17,0)</x:f>
        <x:v>0</x:v>
      </x:c>
      <x:c r="G17" s="71" t="n">
        <x:f>IFERROR(_xlfn.XLOOKUP($A17,Database!$A$2:$A$100,Database!F$2:F$100)*$B17,0)</x:f>
        <x:v>0</x:v>
      </x:c>
      <x:c r="H17" s="71" t="n">
        <x:f>IFERROR(_xlfn.XLOOKUP($A17,Database!$A$2:$A$100,Database!G$2:G$100)*$B17,0)</x:f>
        <x:v>0</x:v>
      </x:c>
      <x:c r="I17" s="71" t="n">
        <x:f>IFERROR(_xlfn.XLOOKUP($A17,Database!$A$2:$A$100,Database!H$2:H$100)*$B17,0)</x:f>
        <x:v>0</x:v>
      </x:c>
      <x:c r="J17" s="71" t="n">
        <x:f>IFERROR(_xlfn.XLOOKUP($A17,Database!$A$2:$A$100,Database!I$2:I$100)*$B17,0)</x:f>
        <x:v>0</x:v>
      </x:c>
      <x:c r="O17" s="1"/>
      <x:c r="P17" s="3"/>
    </x:row>
    <x:row r="18">
      <x:c r="A18" s="63"/>
      <x:c r="B18" s="66"/>
      <x:c r="C18" s="71" t="n">
        <x:f>IFERROR(_xlfn.XLOOKUP($A18,Database!$A$2:$A$100,Database!B$2:B$100)*$B18,0)</x:f>
        <x:v>0</x:v>
      </x:c>
      <x:c r="D18" s="71" t="n">
        <x:f>IFERROR(_xlfn.XLOOKUP($A18,Database!$A$2:$A$100,Database!C$2:C$100)*$B18,0)</x:f>
        <x:v>0</x:v>
      </x:c>
      <x:c r="E18" s="71" t="n">
        <x:f>IFERROR(_xlfn.XLOOKUP($A18,Database!$A$2:$A$100,Database!D$2:D$100)*$B18,0)</x:f>
        <x:v>0</x:v>
      </x:c>
      <x:c r="F18" s="71" t="n">
        <x:f>IFERROR(_xlfn.XLOOKUP($A18,Database!$A$2:$A$100,Database!E$2:E$100)*$B18,0)</x:f>
        <x:v>0</x:v>
      </x:c>
      <x:c r="G18" s="71" t="n">
        <x:f>IFERROR(_xlfn.XLOOKUP($A18,Database!$A$2:$A$100,Database!F$2:F$100)*$B18,0)</x:f>
        <x:v>0</x:v>
      </x:c>
      <x:c r="H18" s="71" t="n">
        <x:f>IFERROR(_xlfn.XLOOKUP($A18,Database!$A$2:$A$100,Database!G$2:G$100)*$B18,0)</x:f>
        <x:v>0</x:v>
      </x:c>
      <x:c r="I18" s="71" t="n">
        <x:f>IFERROR(_xlfn.XLOOKUP($A18,Database!$A$2:$A$100,Database!H$2:H$100)*$B18,0)</x:f>
        <x:v>0</x:v>
      </x:c>
      <x:c r="J18" s="71" t="n">
        <x:f>IFERROR(_xlfn.XLOOKUP($A18,Database!$A$2:$A$100,Database!I$2:I$100)*$B18,0)</x:f>
        <x:v>0</x:v>
      </x:c>
      <x:c r="O18" s="1"/>
      <x:c r="P18" s="6"/>
    </x:row>
    <x:row r="19">
      <x:c r="A19" s="63"/>
      <x:c r="B19" s="66"/>
      <x:c r="C19" s="71" t="n">
        <x:f>IFERROR(_xlfn.XLOOKUP($A19,Database!$A$2:$A$100,Database!B$2:B$100)*$B19,0)</x:f>
        <x:v>0</x:v>
      </x:c>
      <x:c r="D19" s="71" t="n">
        <x:f>IFERROR(_xlfn.XLOOKUP($A19,Database!$A$2:$A$100,Database!C$2:C$100)*$B19,0)</x:f>
        <x:v>0</x:v>
      </x:c>
      <x:c r="E19" s="71" t="n">
        <x:f>IFERROR(_xlfn.XLOOKUP($A19,Database!$A$2:$A$100,Database!D$2:D$100)*$B19,0)</x:f>
        <x:v>0</x:v>
      </x:c>
      <x:c r="F19" s="71" t="n">
        <x:f>IFERROR(_xlfn.XLOOKUP($A19,Database!$A$2:$A$100,Database!E$2:E$100)*$B19,0)</x:f>
        <x:v>0</x:v>
      </x:c>
      <x:c r="G19" s="71" t="n">
        <x:f>IFERROR(_xlfn.XLOOKUP($A19,Database!$A$2:$A$100,Database!F$2:F$100)*$B19,0)</x:f>
        <x:v>0</x:v>
      </x:c>
      <x:c r="H19" s="71" t="n">
        <x:f>IFERROR(_xlfn.XLOOKUP($A19,Database!$A$2:$A$100,Database!G$2:G$100)*$B19,0)</x:f>
        <x:v>0</x:v>
      </x:c>
      <x:c r="I19" s="71" t="n">
        <x:f>IFERROR(_xlfn.XLOOKUP($A19,Database!$A$2:$A$100,Database!H$2:H$100)*$B19,0)</x:f>
        <x:v>0</x:v>
      </x:c>
      <x:c r="J19" s="71" t="n">
        <x:f>IFERROR(_xlfn.XLOOKUP($A19,Database!$A$2:$A$100,Database!I$2:I$100)*$B19,0)</x:f>
        <x:v>0</x:v>
      </x:c>
      <x:c r="O19" s="1"/>
      <x:c r="P19" s="6"/>
    </x:row>
    <x:row r="20">
      <x:c r="A20" s="63"/>
      <x:c r="B20" s="66"/>
      <x:c r="C20" s="71" t="n">
        <x:f>IFERROR(_xlfn.XLOOKUP($A20,Database!$A$2:$A$100,Database!B$2:B$100)*$B20,0)</x:f>
        <x:v>0</x:v>
      </x:c>
      <x:c r="D20" s="71" t="n">
        <x:f>IFERROR(_xlfn.XLOOKUP($A20,Database!$A$2:$A$100,Database!C$2:C$100)*$B20,0)</x:f>
        <x:v>0</x:v>
      </x:c>
      <x:c r="E20" s="71" t="n">
        <x:f>IFERROR(_xlfn.XLOOKUP($A20,Database!$A$2:$A$100,Database!D$2:D$100)*$B20,0)</x:f>
        <x:v>0</x:v>
      </x:c>
      <x:c r="F20" s="71" t="n">
        <x:f>IFERROR(_xlfn.XLOOKUP($A20,Database!$A$2:$A$100,Database!E$2:E$100)*$B20,0)</x:f>
        <x:v>0</x:v>
      </x:c>
      <x:c r="G20" s="71" t="n">
        <x:f>IFERROR(_xlfn.XLOOKUP($A20,Database!$A$2:$A$100,Database!F$2:F$100)*$B20,0)</x:f>
        <x:v>0</x:v>
      </x:c>
      <x:c r="H20" s="71" t="n">
        <x:f>IFERROR(_xlfn.XLOOKUP($A20,Database!$A$2:$A$100,Database!G$2:G$100)*$B20,0)</x:f>
        <x:v>0</x:v>
      </x:c>
      <x:c r="I20" s="71" t="n">
        <x:f>IFERROR(_xlfn.XLOOKUP($A20,Database!$A$2:$A$100,Database!H$2:H$100)*$B20,0)</x:f>
        <x:v>0</x:v>
      </x:c>
      <x:c r="J20" s="71" t="n">
        <x:f>IFERROR(_xlfn.XLOOKUP($A20,Database!$A$2:$A$100,Database!I$2:I$100)*$B20,0)</x:f>
        <x:v>0</x:v>
      </x:c>
      <x:c r="O20" s="1"/>
      <x:c r="P20" s="3"/>
    </x:row>
    <x:row r="21">
      <x:c r="A21" s="63"/>
      <x:c r="B21" s="66"/>
      <x:c r="C21" s="71" t="n">
        <x:f>IFERROR(_xlfn.XLOOKUP($A21,Database!$A$2:$A$100,Database!B$2:B$100)*$B21,0)</x:f>
        <x:v>0</x:v>
      </x:c>
      <x:c r="D21" s="71" t="n">
        <x:f>IFERROR(_xlfn.XLOOKUP($A21,Database!$A$2:$A$100,Database!C$2:C$100)*$B21,0)</x:f>
        <x:v>0</x:v>
      </x:c>
      <x:c r="E21" s="71" t="n">
        <x:f>IFERROR(_xlfn.XLOOKUP($A21,Database!$A$2:$A$100,Database!D$2:D$100)*$B21,0)</x:f>
        <x:v>0</x:v>
      </x:c>
      <x:c r="F21" s="71" t="n">
        <x:f>IFERROR(_xlfn.XLOOKUP($A21,Database!$A$2:$A$100,Database!E$2:E$100)*$B21,0)</x:f>
        <x:v>0</x:v>
      </x:c>
      <x:c r="G21" s="71" t="n">
        <x:f>IFERROR(_xlfn.XLOOKUP($A21,Database!$A$2:$A$100,Database!F$2:F$100)*$B21,0)</x:f>
        <x:v>0</x:v>
      </x:c>
      <x:c r="H21" s="71" t="n">
        <x:f>IFERROR(_xlfn.XLOOKUP($A21,Database!$A$2:$A$100,Database!G$2:G$100)*$B21,0)</x:f>
        <x:v>0</x:v>
      </x:c>
      <x:c r="I21" s="71" t="n">
        <x:f>IFERROR(_xlfn.XLOOKUP($A21,Database!$A$2:$A$100,Database!H$2:H$100)*$B21,0)</x:f>
        <x:v>0</x:v>
      </x:c>
      <x:c r="J21" s="71" t="n">
        <x:f>IFERROR(_xlfn.XLOOKUP($A21,Database!$A$2:$A$100,Database!I$2:I$100)*$B21,0)</x:f>
        <x:v>0</x:v>
      </x:c>
    </x:row>
    <x:row r="22">
      <x:c r="A22" s="63"/>
      <x:c r="B22" s="66"/>
      <x:c r="C22" s="71" t="n">
        <x:f>IFERROR(_xlfn.XLOOKUP($A22,Database!$A$2:$A$100,Database!B$2:B$100)*$B22,0)</x:f>
        <x:v>0</x:v>
      </x:c>
      <x:c r="D22" s="71" t="n">
        <x:f>IFERROR(_xlfn.XLOOKUP($A22,Database!$A$2:$A$100,Database!C$2:C$100)*$B22,0)</x:f>
        <x:v>0</x:v>
      </x:c>
      <x:c r="E22" s="71" t="n">
        <x:f>IFERROR(_xlfn.XLOOKUP($A22,Database!$A$2:$A$100,Database!D$2:D$100)*$B22,0)</x:f>
        <x:v>0</x:v>
      </x:c>
      <x:c r="F22" s="71" t="n">
        <x:f>IFERROR(_xlfn.XLOOKUP($A22,Database!$A$2:$A$100,Database!E$2:E$100)*$B22,0)</x:f>
        <x:v>0</x:v>
      </x:c>
      <x:c r="G22" s="71" t="n">
        <x:f>IFERROR(_xlfn.XLOOKUP($A22,Database!$A$2:$A$100,Database!F$2:F$100)*$B22,0)</x:f>
        <x:v>0</x:v>
      </x:c>
      <x:c r="H22" s="71" t="n">
        <x:f>IFERROR(_xlfn.XLOOKUP($A22,Database!$A$2:$A$100,Database!G$2:G$100)*$B22,0)</x:f>
        <x:v>0</x:v>
      </x:c>
      <x:c r="I22" s="71" t="n">
        <x:f>IFERROR(_xlfn.XLOOKUP($A22,Database!$A$2:$A$100,Database!H$2:H$100)*$B22,0)</x:f>
        <x:v>0</x:v>
      </x:c>
      <x:c r="J22" s="71" t="n">
        <x:f>IFERROR(_xlfn.XLOOKUP($A22,Database!$A$2:$A$100,Database!I$2:I$100)*$B22,0)</x:f>
        <x:v>0</x:v>
      </x:c>
    </x:row>
    <x:row r="23">
      <x:c r="A23" s="63"/>
      <x:c r="B23" s="66"/>
      <x:c r="C23" s="71" t="n">
        <x:f>IFERROR(_xlfn.XLOOKUP($A23,Database!$A$2:$A$100,Database!B$2:B$100)*$B23,0)</x:f>
        <x:v>0</x:v>
      </x:c>
      <x:c r="D23" s="71" t="n">
        <x:f>IFERROR(_xlfn.XLOOKUP($A23,Database!$A$2:$A$100,Database!C$2:C$100)*$B23,0)</x:f>
        <x:v>0</x:v>
      </x:c>
      <x:c r="E23" s="71" t="n">
        <x:f>IFERROR(_xlfn.XLOOKUP($A23,Database!$A$2:$A$100,Database!D$2:D$100)*$B23,0)</x:f>
        <x:v>0</x:v>
      </x:c>
      <x:c r="F23" s="71" t="n">
        <x:f>IFERROR(_xlfn.XLOOKUP($A23,Database!$A$2:$A$100,Database!E$2:E$100)*$B23,0)</x:f>
        <x:v>0</x:v>
      </x:c>
      <x:c r="G23" s="71" t="n">
        <x:f>IFERROR(_xlfn.XLOOKUP($A23,Database!$A$2:$A$100,Database!F$2:F$100)*$B23,0)</x:f>
        <x:v>0</x:v>
      </x:c>
      <x:c r="H23" s="71" t="n">
        <x:f>IFERROR(_xlfn.XLOOKUP($A23,Database!$A$2:$A$100,Database!G$2:G$100)*$B23,0)</x:f>
        <x:v>0</x:v>
      </x:c>
      <x:c r="I23" s="71" t="n">
        <x:f>IFERROR(_xlfn.XLOOKUP($A23,Database!$A$2:$A$100,Database!H$2:H$100)*$B23,0)</x:f>
        <x:v>0</x:v>
      </x:c>
      <x:c r="J23" s="71" t="n">
        <x:f>IFERROR(_xlfn.XLOOKUP($A23,Database!$A$2:$A$100,Database!I$2:I$100)*$B23,0)</x:f>
        <x:v>0</x:v>
      </x:c>
    </x:row>
    <x:row r="24">
      <x:c r="A24" s="63"/>
      <x:c r="B24" s="66"/>
      <x:c r="C24" s="71" t="n">
        <x:f>IFERROR(_xlfn.XLOOKUP($A24,Database!$A$2:$A$100,Database!B$2:B$100)*$B24,0)</x:f>
        <x:v>0</x:v>
      </x:c>
      <x:c r="D24" s="71" t="n">
        <x:f>IFERROR(_xlfn.XLOOKUP($A24,Database!$A$2:$A$100,Database!C$2:C$100)*$B24,0)</x:f>
        <x:v>0</x:v>
      </x:c>
      <x:c r="E24" s="71" t="n">
        <x:f>IFERROR(_xlfn.XLOOKUP($A24,Database!$A$2:$A$100,Database!D$2:D$100)*$B24,0)</x:f>
        <x:v>0</x:v>
      </x:c>
      <x:c r="F24" s="71" t="n">
        <x:f>IFERROR(_xlfn.XLOOKUP($A24,Database!$A$2:$A$100,Database!E$2:E$100)*$B24,0)</x:f>
        <x:v>0</x:v>
      </x:c>
      <x:c r="G24" s="71" t="n">
        <x:f>IFERROR(_xlfn.XLOOKUP($A24,Database!$A$2:$A$100,Database!F$2:F$100)*$B24,0)</x:f>
        <x:v>0</x:v>
      </x:c>
      <x:c r="H24" s="71" t="n">
        <x:f>IFERROR(_xlfn.XLOOKUP($A24,Database!$A$2:$A$100,Database!G$2:G$100)*$B24,0)</x:f>
        <x:v>0</x:v>
      </x:c>
      <x:c r="I24" s="71" t="n">
        <x:f>IFERROR(_xlfn.XLOOKUP($A24,Database!$A$2:$A$100,Database!H$2:H$100)*$B24,0)</x:f>
        <x:v>0</x:v>
      </x:c>
      <x:c r="J24" s="71" t="n">
        <x:f>IFERROR(_xlfn.XLOOKUP($A24,Database!$A$2:$A$100,Database!I$2:I$100)*$B24,0)</x:f>
        <x:v>0</x:v>
      </x:c>
    </x:row>
    <x:row r="25">
      <x:c r="A25" s="63"/>
      <x:c r="B25" s="66"/>
      <x:c r="C25" s="71" t="n">
        <x:f>IFERROR(_xlfn.XLOOKUP($A25,Database!$A$2:$A$100,Database!B$2:B$100)*$B25,0)</x:f>
        <x:v>0</x:v>
      </x:c>
      <x:c r="D25" s="71" t="n">
        <x:f>IFERROR(_xlfn.XLOOKUP($A25,Database!$A$2:$A$100,Database!C$2:C$100)*$B25,0)</x:f>
        <x:v>0</x:v>
      </x:c>
      <x:c r="E25" s="71" t="n">
        <x:f>IFERROR(_xlfn.XLOOKUP($A25,Database!$A$2:$A$100,Database!D$2:D$100)*$B25,0)</x:f>
        <x:v>0</x:v>
      </x:c>
      <x:c r="F25" s="71" t="n">
        <x:f>IFERROR(_xlfn.XLOOKUP($A25,Database!$A$2:$A$100,Database!E$2:E$100)*$B25,0)</x:f>
        <x:v>0</x:v>
      </x:c>
      <x:c r="G25" s="71" t="n">
        <x:f>IFERROR(_xlfn.XLOOKUP($A25,Database!$A$2:$A$100,Database!F$2:F$100)*$B25,0)</x:f>
        <x:v>0</x:v>
      </x:c>
      <x:c r="H25" s="71" t="n">
        <x:f>IFERROR(_xlfn.XLOOKUP($A25,Database!$A$2:$A$100,Database!G$2:G$100)*$B25,0)</x:f>
        <x:v>0</x:v>
      </x:c>
      <x:c r="I25" s="71" t="n">
        <x:f>IFERROR(_xlfn.XLOOKUP($A25,Database!$A$2:$A$100,Database!H$2:H$100)*$B25,0)</x:f>
        <x:v>0</x:v>
      </x:c>
      <x:c r="J25" s="71" t="n">
        <x:f>IFERROR(_xlfn.XLOOKUP($A25,Database!$A$2:$A$100,Database!I$2:I$100)*$B25,0)</x:f>
        <x:v>0</x:v>
      </x:c>
    </x:row>
    <x:row r="26">
      <x:c r="A26" s="63"/>
      <x:c r="B26" s="66"/>
      <x:c r="C26" s="71" t="n">
        <x:f>IFERROR(_xlfn.XLOOKUP($A26,Database!$A$2:$A$100,Database!B$2:B$100)*$B26,0)</x:f>
        <x:v>0</x:v>
      </x:c>
      <x:c r="D26" s="71" t="n">
        <x:f>IFERROR(_xlfn.XLOOKUP($A26,Database!$A$2:$A$100,Database!C$2:C$100)*$B26,0)</x:f>
        <x:v>0</x:v>
      </x:c>
      <x:c r="E26" s="71" t="n">
        <x:f>IFERROR(_xlfn.XLOOKUP($A26,Database!$A$2:$A$100,Database!D$2:D$100)*$B26,0)</x:f>
        <x:v>0</x:v>
      </x:c>
      <x:c r="F26" s="71" t="n">
        <x:f>IFERROR(_xlfn.XLOOKUP($A26,Database!$A$2:$A$100,Database!E$2:E$100)*$B26,0)</x:f>
        <x:v>0</x:v>
      </x:c>
      <x:c r="G26" s="71" t="n">
        <x:f>IFERROR(_xlfn.XLOOKUP($A26,Database!$A$2:$A$100,Database!F$2:F$100)*$B26,0)</x:f>
        <x:v>0</x:v>
      </x:c>
      <x:c r="H26" s="71" t="n">
        <x:f>IFERROR(_xlfn.XLOOKUP($A26,Database!$A$2:$A$100,Database!G$2:G$100)*$B26,0)</x:f>
        <x:v>0</x:v>
      </x:c>
      <x:c r="I26" s="71" t="n">
        <x:f>IFERROR(_xlfn.XLOOKUP($A26,Database!$A$2:$A$100,Database!H$2:H$100)*$B26,0)</x:f>
        <x:v>0</x:v>
      </x:c>
      <x:c r="J26" s="71" t="n">
        <x:f>IFERROR(_xlfn.XLOOKUP($A26,Database!$A$2:$A$100,Database!I$2:I$100)*$B26,0)</x:f>
        <x:v>0</x:v>
      </x:c>
    </x:row>
    <x:row r="27">
      <x:c r="A27" s="63"/>
      <x:c r="B27" s="66"/>
      <x:c r="C27" s="71" t="n">
        <x:f>IFERROR(_xlfn.XLOOKUP($A27,Database!$A$2:$A$100,Database!B$2:B$100)*$B27,0)</x:f>
        <x:v>0</x:v>
      </x:c>
      <x:c r="D27" s="71" t="n">
        <x:f>IFERROR(_xlfn.XLOOKUP($A27,Database!$A$2:$A$100,Database!C$2:C$100)*$B27,0)</x:f>
        <x:v>0</x:v>
      </x:c>
      <x:c r="E27" s="71" t="n">
        <x:f>IFERROR(_xlfn.XLOOKUP($A27,Database!$A$2:$A$100,Database!D$2:D$100)*$B27,0)</x:f>
        <x:v>0</x:v>
      </x:c>
      <x:c r="F27" s="71" t="n">
        <x:f>IFERROR(_xlfn.XLOOKUP($A27,Database!$A$2:$A$100,Database!E$2:E$100)*$B27,0)</x:f>
        <x:v>0</x:v>
      </x:c>
      <x:c r="G27" s="71" t="n">
        <x:f>IFERROR(_xlfn.XLOOKUP($A27,Database!$A$2:$A$100,Database!F$2:F$100)*$B27,0)</x:f>
        <x:v>0</x:v>
      </x:c>
      <x:c r="H27" s="71" t="n">
        <x:f>IFERROR(_xlfn.XLOOKUP($A27,Database!$A$2:$A$100,Database!G$2:G$100)*$B27,0)</x:f>
        <x:v>0</x:v>
      </x:c>
      <x:c r="I27" s="71" t="n">
        <x:f>IFERROR(_xlfn.XLOOKUP($A27,Database!$A$2:$A$100,Database!H$2:H$100)*$B27,0)</x:f>
        <x:v>0</x:v>
      </x:c>
      <x:c r="J27" s="71" t="n">
        <x:f>IFERROR(_xlfn.XLOOKUP($A27,Database!$A$2:$A$100,Database!I$2:I$100)*$B27,0)</x:f>
        <x:v>0</x:v>
      </x:c>
    </x:row>
    <x:row r="28">
      <x:c r="A28" s="63"/>
      <x:c r="B28" s="66"/>
      <x:c r="C28" s="71" t="n">
        <x:f>IFERROR(_xlfn.XLOOKUP($A28,Database!$A$2:$A$100,Database!B$2:B$100)*$B28,0)</x:f>
        <x:v>0</x:v>
      </x:c>
      <x:c r="D28" s="71" t="n">
        <x:f>IFERROR(_xlfn.XLOOKUP($A28,Database!$A$2:$A$100,Database!C$2:C$100)*$B28,0)</x:f>
        <x:v>0</x:v>
      </x:c>
      <x:c r="E28" s="71" t="n">
        <x:f>IFERROR(_xlfn.XLOOKUP($A28,Database!$A$2:$A$100,Database!D$2:D$100)*$B28,0)</x:f>
        <x:v>0</x:v>
      </x:c>
      <x:c r="F28" s="71" t="n">
        <x:f>IFERROR(_xlfn.XLOOKUP($A28,Database!$A$2:$A$100,Database!E$2:E$100)*$B28,0)</x:f>
        <x:v>0</x:v>
      </x:c>
      <x:c r="G28" s="71" t="n">
        <x:f>IFERROR(_xlfn.XLOOKUP($A28,Database!$A$2:$A$100,Database!F$2:F$100)*$B28,0)</x:f>
        <x:v>0</x:v>
      </x:c>
      <x:c r="H28" s="71" t="n">
        <x:f>IFERROR(_xlfn.XLOOKUP($A28,Database!$A$2:$A$100,Database!G$2:G$100)*$B28,0)</x:f>
        <x:v>0</x:v>
      </x:c>
      <x:c r="I28" s="71" t="n">
        <x:f>IFERROR(_xlfn.XLOOKUP($A28,Database!$A$2:$A$100,Database!H$2:H$100)*$B28,0)</x:f>
        <x:v>0</x:v>
      </x:c>
      <x:c r="J28" s="71" t="n">
        <x:f>IFERROR(_xlfn.XLOOKUP($A28,Database!$A$2:$A$100,Database!I$2:I$100)*$B28,0)</x:f>
        <x:v>0</x:v>
      </x:c>
    </x:row>
    <x:row r="29">
      <x:c r="A29" s="63"/>
      <x:c r="B29" s="66"/>
      <x:c r="C29" s="71" t="n">
        <x:f>IFERROR(_xlfn.XLOOKUP($A29,Database!$A$2:$A$100,Database!B$2:B$100)*$B29,0)</x:f>
        <x:v>0</x:v>
      </x:c>
      <x:c r="D29" s="71" t="n">
        <x:f>IFERROR(_xlfn.XLOOKUP($A29,Database!$A$2:$A$100,Database!C$2:C$100)*$B29,0)</x:f>
        <x:v>0</x:v>
      </x:c>
      <x:c r="E29" s="71" t="n">
        <x:f>IFERROR(_xlfn.XLOOKUP($A29,Database!$A$2:$A$100,Database!D$2:D$100)*$B29,0)</x:f>
        <x:v>0</x:v>
      </x:c>
      <x:c r="F29" s="71" t="n">
        <x:f>IFERROR(_xlfn.XLOOKUP($A29,Database!$A$2:$A$100,Database!E$2:E$100)*$B29,0)</x:f>
        <x:v>0</x:v>
      </x:c>
      <x:c r="G29" s="71" t="n">
        <x:f>IFERROR(_xlfn.XLOOKUP($A29,Database!$A$2:$A$100,Database!F$2:F$100)*$B29,0)</x:f>
        <x:v>0</x:v>
      </x:c>
      <x:c r="H29" s="71" t="n">
        <x:f>IFERROR(_xlfn.XLOOKUP($A29,Database!$A$2:$A$100,Database!G$2:G$100)*$B29,0)</x:f>
        <x:v>0</x:v>
      </x:c>
      <x:c r="I29" s="71" t="n">
        <x:f>IFERROR(_xlfn.XLOOKUP($A29,Database!$A$2:$A$100,Database!H$2:H$100)*$B29,0)</x:f>
        <x:v>0</x:v>
      </x:c>
      <x:c r="J29" s="71" t="n">
        <x:f>IFERROR(_xlfn.XLOOKUP($A29,Database!$A$2:$A$100,Database!I$2:I$100)*$B29,0)</x:f>
        <x:v>0</x:v>
      </x:c>
    </x:row>
    <x:row r="30">
      <x:c r="A30" s="63"/>
      <x:c r="B30" s="66"/>
      <x:c r="C30" s="71" t="n">
        <x:f>IFERROR(_xlfn.XLOOKUP($A30,Database!$A$2:$A$100,Database!B$2:B$100)*$B30,0)</x:f>
        <x:v>0</x:v>
      </x:c>
      <x:c r="D30" s="71" t="n">
        <x:f>IFERROR(_xlfn.XLOOKUP($A30,Database!$A$2:$A$100,Database!C$2:C$100)*$B30,0)</x:f>
        <x:v>0</x:v>
      </x:c>
      <x:c r="E30" s="71" t="n">
        <x:f>IFERROR(_xlfn.XLOOKUP($A30,Database!$A$2:$A$100,Database!D$2:D$100)*$B30,0)</x:f>
        <x:v>0</x:v>
      </x:c>
      <x:c r="F30" s="71" t="n">
        <x:f>IFERROR(_xlfn.XLOOKUP($A30,Database!$A$2:$A$100,Database!E$2:E$100)*$B30,0)</x:f>
        <x:v>0</x:v>
      </x:c>
      <x:c r="G30" s="71" t="n">
        <x:f>IFERROR(_xlfn.XLOOKUP($A30,Database!$A$2:$A$100,Database!F$2:F$100)*$B30,0)</x:f>
        <x:v>0</x:v>
      </x:c>
      <x:c r="H30" s="71" t="n">
        <x:f>IFERROR(_xlfn.XLOOKUP($A30,Database!$A$2:$A$100,Database!G$2:G$100)*$B30,0)</x:f>
        <x:v>0</x:v>
      </x:c>
      <x:c r="I30" s="71" t="n">
        <x:f>IFERROR(_xlfn.XLOOKUP($A30,Database!$A$2:$A$100,Database!H$2:H$100)*$B30,0)</x:f>
        <x:v>0</x:v>
      </x:c>
      <x:c r="J30" s="71" t="n">
        <x:f>IFERROR(_xlfn.XLOOKUP($A30,Database!$A$2:$A$100,Database!I$2:I$100)*$B30,0)</x:f>
        <x:v>0</x:v>
      </x:c>
    </x:row>
    <x:row r="31">
      <x:c r="A31" s="63"/>
      <x:c r="B31" s="66"/>
      <x:c r="C31" s="71" t="n">
        <x:f>IFERROR(_xlfn.XLOOKUP($A31,Database!$A$2:$A$100,Database!B$2:B$100)*$B31,0)</x:f>
        <x:v>0</x:v>
      </x:c>
      <x:c r="D31" s="71" t="n">
        <x:f>IFERROR(_xlfn.XLOOKUP($A31,Database!$A$2:$A$100,Database!C$2:C$100)*$B31,0)</x:f>
        <x:v>0</x:v>
      </x:c>
      <x:c r="E31" s="71" t="n">
        <x:f>IFERROR(_xlfn.XLOOKUP($A31,Database!$A$2:$A$100,Database!D$2:D$100)*$B31,0)</x:f>
        <x:v>0</x:v>
      </x:c>
      <x:c r="F31" s="71" t="n">
        <x:f>IFERROR(_xlfn.XLOOKUP($A31,Database!$A$2:$A$100,Database!E$2:E$100)*$B31,0)</x:f>
        <x:v>0</x:v>
      </x:c>
      <x:c r="G31" s="71" t="n">
        <x:f>IFERROR(_xlfn.XLOOKUP($A31,Database!$A$2:$A$100,Database!F$2:F$100)*$B31,0)</x:f>
        <x:v>0</x:v>
      </x:c>
      <x:c r="H31" s="71" t="n">
        <x:f>IFERROR(_xlfn.XLOOKUP($A31,Database!$A$2:$A$100,Database!G$2:G$100)*$B31,0)</x:f>
        <x:v>0</x:v>
      </x:c>
      <x:c r="I31" s="71" t="n">
        <x:f>IFERROR(_xlfn.XLOOKUP($A31,Database!$A$2:$A$100,Database!H$2:H$100)*$B31,0)</x:f>
        <x:v>0</x:v>
      </x:c>
      <x:c r="J31" s="71" t="n">
        <x:f>IFERROR(_xlfn.XLOOKUP($A31,Database!$A$2:$A$100,Database!I$2:I$100)*$B31,0)</x:f>
        <x:v>0</x:v>
      </x:c>
    </x:row>
    <x:row r="32">
      <x:c r="A32" s="63"/>
      <x:c r="B32" s="66"/>
      <x:c r="C32" s="71" t="n">
        <x:f>IFERROR(_xlfn.XLOOKUP($A32,Database!$A$2:$A$100,Database!B$2:B$100)*$B32,0)</x:f>
        <x:v>0</x:v>
      </x:c>
      <x:c r="D32" s="71" t="n">
        <x:f>IFERROR(_xlfn.XLOOKUP($A32,Database!$A$2:$A$100,Database!C$2:C$100)*$B32,0)</x:f>
        <x:v>0</x:v>
      </x:c>
      <x:c r="E32" s="71" t="n">
        <x:f>IFERROR(_xlfn.XLOOKUP($A32,Database!$A$2:$A$100,Database!D$2:D$100)*$B32,0)</x:f>
        <x:v>0</x:v>
      </x:c>
      <x:c r="F32" s="71" t="n">
        <x:f>IFERROR(_xlfn.XLOOKUP($A32,Database!$A$2:$A$100,Database!E$2:E$100)*$B32,0)</x:f>
        <x:v>0</x:v>
      </x:c>
      <x:c r="G32" s="71" t="n">
        <x:f>IFERROR(_xlfn.XLOOKUP($A32,Database!$A$2:$A$100,Database!F$2:F$100)*$B32,0)</x:f>
        <x:v>0</x:v>
      </x:c>
      <x:c r="H32" s="71" t="n">
        <x:f>IFERROR(_xlfn.XLOOKUP($A32,Database!$A$2:$A$100,Database!G$2:G$100)*$B32,0)</x:f>
        <x:v>0</x:v>
      </x:c>
      <x:c r="I32" s="71" t="n">
        <x:f>IFERROR(_xlfn.XLOOKUP($A32,Database!$A$2:$A$100,Database!H$2:H$100)*$B32,0)</x:f>
        <x:v>0</x:v>
      </x:c>
      <x:c r="J32" s="71" t="n">
        <x:f>IFERROR(_xlfn.XLOOKUP($A32,Database!$A$2:$A$100,Database!I$2:I$100)*$B32,0)</x:f>
        <x:v>0</x:v>
      </x:c>
    </x:row>
    <x:row r="33">
      <x:c r="A33" s="63"/>
      <x:c r="B33" s="66"/>
      <x:c r="C33" s="71" t="n">
        <x:f>IFERROR(_xlfn.XLOOKUP($A33,Database!$A$2:$A$100,Database!B$2:B$100)*$B33,0)</x:f>
        <x:v>0</x:v>
      </x:c>
      <x:c r="D33" s="71" t="n">
        <x:f>IFERROR(_xlfn.XLOOKUP($A33,Database!$A$2:$A$100,Database!C$2:C$100)*$B33,0)</x:f>
        <x:v>0</x:v>
      </x:c>
      <x:c r="E33" s="71" t="n">
        <x:f>IFERROR(_xlfn.XLOOKUP($A33,Database!$A$2:$A$100,Database!D$2:D$100)*$B33,0)</x:f>
        <x:v>0</x:v>
      </x:c>
      <x:c r="F33" s="71" t="n">
        <x:f>IFERROR(_xlfn.XLOOKUP($A33,Database!$A$2:$A$100,Database!E$2:E$100)*$B33,0)</x:f>
        <x:v>0</x:v>
      </x:c>
      <x:c r="G33" s="71" t="n">
        <x:f>IFERROR(_xlfn.XLOOKUP($A33,Database!$A$2:$A$100,Database!F$2:F$100)*$B33,0)</x:f>
        <x:v>0</x:v>
      </x:c>
      <x:c r="H33" s="71" t="n">
        <x:f>IFERROR(_xlfn.XLOOKUP($A33,Database!$A$2:$A$100,Database!G$2:G$100)*$B33,0)</x:f>
        <x:v>0</x:v>
      </x:c>
      <x:c r="I33" s="71" t="n">
        <x:f>IFERROR(_xlfn.XLOOKUP($A33,Database!$A$2:$A$100,Database!H$2:H$100)*$B33,0)</x:f>
        <x:v>0</x:v>
      </x:c>
      <x:c r="J33" s="71" t="n">
        <x:f>IFERROR(_xlfn.XLOOKUP($A33,Database!$A$2:$A$100,Database!I$2:I$100)*$B33,0)</x:f>
        <x:v>0</x:v>
      </x:c>
    </x:row>
    <x:row r="34">
      <x:c r="A34" s="63"/>
      <x:c r="B34" s="66"/>
      <x:c r="C34" s="71" t="n">
        <x:f>IFERROR(_xlfn.XLOOKUP($A34,Database!$A$2:$A$100,Database!B$2:B$100)*$B34,0)</x:f>
        <x:v>0</x:v>
      </x:c>
      <x:c r="D34" s="71" t="n">
        <x:f>IFERROR(_xlfn.XLOOKUP($A34,Database!$A$2:$A$100,Database!C$2:C$100)*$B34,0)</x:f>
        <x:v>0</x:v>
      </x:c>
      <x:c r="E34" s="71" t="n">
        <x:f>IFERROR(_xlfn.XLOOKUP($A34,Database!$A$2:$A$100,Database!D$2:D$100)*$B34,0)</x:f>
        <x:v>0</x:v>
      </x:c>
      <x:c r="F34" s="71" t="n">
        <x:f>IFERROR(_xlfn.XLOOKUP($A34,Database!$A$2:$A$100,Database!E$2:E$100)*$B34,0)</x:f>
        <x:v>0</x:v>
      </x:c>
      <x:c r="G34" s="71" t="n">
        <x:f>IFERROR(_xlfn.XLOOKUP($A34,Database!$A$2:$A$100,Database!F$2:F$100)*$B34,0)</x:f>
        <x:v>0</x:v>
      </x:c>
      <x:c r="H34" s="71" t="n">
        <x:f>IFERROR(_xlfn.XLOOKUP($A34,Database!$A$2:$A$100,Database!G$2:G$100)*$B34,0)</x:f>
        <x:v>0</x:v>
      </x:c>
      <x:c r="I34" s="71" t="n">
        <x:f>IFERROR(_xlfn.XLOOKUP($A34,Database!$A$2:$A$100,Database!H$2:H$100)*$B34,0)</x:f>
        <x:v>0</x:v>
      </x:c>
      <x:c r="J34" s="71" t="n">
        <x:f>IFERROR(_xlfn.XLOOKUP($A34,Database!$A$2:$A$100,Database!I$2:I$100)*$B34,0)</x:f>
        <x:v>0</x:v>
      </x:c>
    </x:row>
    <x:row r="35">
      <x:c r="A35" s="63"/>
      <x:c r="B35" s="66"/>
      <x:c r="C35" s="71" t="n">
        <x:f>IFERROR(_xlfn.XLOOKUP($A35,Database!$A$2:$A$100,Database!B$2:B$100)*$B35,0)</x:f>
        <x:v>0</x:v>
      </x:c>
      <x:c r="D35" s="71" t="n">
        <x:f>IFERROR(_xlfn.XLOOKUP($A35,Database!$A$2:$A$100,Database!C$2:C$100)*$B35,0)</x:f>
        <x:v>0</x:v>
      </x:c>
      <x:c r="E35" s="71" t="n">
        <x:f>IFERROR(_xlfn.XLOOKUP($A35,Database!$A$2:$A$100,Database!D$2:D$100)*$B35,0)</x:f>
        <x:v>0</x:v>
      </x:c>
      <x:c r="F35" s="71" t="n">
        <x:f>IFERROR(_xlfn.XLOOKUP($A35,Database!$A$2:$A$100,Database!E$2:E$100)*$B35,0)</x:f>
        <x:v>0</x:v>
      </x:c>
      <x:c r="G35" s="71" t="n">
        <x:f>IFERROR(_xlfn.XLOOKUP($A35,Database!$A$2:$A$100,Database!F$2:F$100)*$B35,0)</x:f>
        <x:v>0</x:v>
      </x:c>
      <x:c r="H35" s="71" t="n">
        <x:f>IFERROR(_xlfn.XLOOKUP($A35,Database!$A$2:$A$100,Database!G$2:G$100)*$B35,0)</x:f>
        <x:v>0</x:v>
      </x:c>
      <x:c r="I35" s="71" t="n">
        <x:f>IFERROR(_xlfn.XLOOKUP($A35,Database!$A$2:$A$100,Database!H$2:H$100)*$B35,0)</x:f>
        <x:v>0</x:v>
      </x:c>
      <x:c r="J35" s="71" t="n">
        <x:f>IFERROR(_xlfn.XLOOKUP($A35,Database!$A$2:$A$100,Database!I$2:I$100)*$B35,0)</x:f>
        <x:v>0</x:v>
      </x:c>
    </x:row>
    <x:row r="36">
      <x:c r="A36" s="63"/>
      <x:c r="B36" s="66"/>
      <x:c r="C36" s="71" t="n">
        <x:f>IFERROR(_xlfn.XLOOKUP($A36,Database!$A$2:$A$100,Database!B$2:B$100)*$B36,0)</x:f>
        <x:v>0</x:v>
      </x:c>
      <x:c r="D36" s="71" t="n">
        <x:f>IFERROR(_xlfn.XLOOKUP($A36,Database!$A$2:$A$100,Database!C$2:C$100)*$B36,0)</x:f>
        <x:v>0</x:v>
      </x:c>
      <x:c r="E36" s="71" t="n">
        <x:f>IFERROR(_xlfn.XLOOKUP($A36,Database!$A$2:$A$100,Database!D$2:D$100)*$B36,0)</x:f>
        <x:v>0</x:v>
      </x:c>
      <x:c r="F36" s="71" t="n">
        <x:f>IFERROR(_xlfn.XLOOKUP($A36,Database!$A$2:$A$100,Database!E$2:E$100)*$B36,0)</x:f>
        <x:v>0</x:v>
      </x:c>
      <x:c r="G36" s="71" t="n">
        <x:f>IFERROR(_xlfn.XLOOKUP($A36,Database!$A$2:$A$100,Database!F$2:F$100)*$B36,0)</x:f>
        <x:v>0</x:v>
      </x:c>
      <x:c r="H36" s="71" t="n">
        <x:f>IFERROR(_xlfn.XLOOKUP($A36,Database!$A$2:$A$100,Database!G$2:G$100)*$B36,0)</x:f>
        <x:v>0</x:v>
      </x:c>
      <x:c r="I36" s="71" t="n">
        <x:f>IFERROR(_xlfn.XLOOKUP($A36,Database!$A$2:$A$100,Database!H$2:H$100)*$B36,0)</x:f>
        <x:v>0</x:v>
      </x:c>
      <x:c r="J36" s="71" t="n">
        <x:f>IFERROR(_xlfn.XLOOKUP($A36,Database!$A$2:$A$100,Database!I$2:I$100)*$B36,0)</x:f>
        <x:v>0</x:v>
      </x:c>
    </x:row>
    <x:row r="37">
      <x:c r="A37" s="63"/>
      <x:c r="B37" s="66"/>
      <x:c r="C37" s="71" t="n">
        <x:f>IFERROR(_xlfn.XLOOKUP($A37,Database!$A$2:$A$100,Database!B$2:B$100)*$B37,0)</x:f>
        <x:v>0</x:v>
      </x:c>
      <x:c r="D37" s="71" t="n">
        <x:f>IFERROR(_xlfn.XLOOKUP($A37,Database!$A$2:$A$100,Database!C$2:C$100)*$B37,0)</x:f>
        <x:v>0</x:v>
      </x:c>
      <x:c r="E37" s="71" t="n">
        <x:f>IFERROR(_xlfn.XLOOKUP($A37,Database!$A$2:$A$100,Database!D$2:D$100)*$B37,0)</x:f>
        <x:v>0</x:v>
      </x:c>
      <x:c r="F37" s="71" t="n">
        <x:f>IFERROR(_xlfn.XLOOKUP($A37,Database!$A$2:$A$100,Database!E$2:E$100)*$B37,0)</x:f>
        <x:v>0</x:v>
      </x:c>
      <x:c r="G37" s="71" t="n">
        <x:f>IFERROR(_xlfn.XLOOKUP($A37,Database!$A$2:$A$100,Database!F$2:F$100)*$B37,0)</x:f>
        <x:v>0</x:v>
      </x:c>
      <x:c r="H37" s="71" t="n">
        <x:f>IFERROR(_xlfn.XLOOKUP($A37,Database!$A$2:$A$100,Database!G$2:G$100)*$B37,0)</x:f>
        <x:v>0</x:v>
      </x:c>
      <x:c r="I37" s="71" t="n">
        <x:f>IFERROR(_xlfn.XLOOKUP($A37,Database!$A$2:$A$100,Database!H$2:H$100)*$B37,0)</x:f>
        <x:v>0</x:v>
      </x:c>
      <x:c r="J37" s="71" t="n">
        <x:f>IFERROR(_xlfn.XLOOKUP($A37,Database!$A$2:$A$100,Database!I$2:I$100)*$B37,0)</x:f>
        <x:v>0</x:v>
      </x:c>
    </x:row>
    <x:row r="38">
      <x:c r="A38" s="63"/>
      <x:c r="B38" s="66"/>
      <x:c r="C38" s="71" t="n">
        <x:f>IFERROR(_xlfn.XLOOKUP($A38,Database!$A$2:$A$100,Database!B$2:B$100)*$B38,0)</x:f>
        <x:v>0</x:v>
      </x:c>
      <x:c r="D38" s="71" t="n">
        <x:f>IFERROR(_xlfn.XLOOKUP($A38,Database!$A$2:$A$100,Database!C$2:C$100)*$B38,0)</x:f>
        <x:v>0</x:v>
      </x:c>
      <x:c r="E38" s="71" t="n">
        <x:f>IFERROR(_xlfn.XLOOKUP($A38,Database!$A$2:$A$100,Database!D$2:D$100)*$B38,0)</x:f>
        <x:v>0</x:v>
      </x:c>
      <x:c r="F38" s="71" t="n">
        <x:f>IFERROR(_xlfn.XLOOKUP($A38,Database!$A$2:$A$100,Database!E$2:E$100)*$B38,0)</x:f>
        <x:v>0</x:v>
      </x:c>
      <x:c r="G38" s="71" t="n">
        <x:f>IFERROR(_xlfn.XLOOKUP($A38,Database!$A$2:$A$100,Database!F$2:F$100)*$B38,0)</x:f>
        <x:v>0</x:v>
      </x:c>
      <x:c r="H38" s="71" t="n">
        <x:f>IFERROR(_xlfn.XLOOKUP($A38,Database!$A$2:$A$100,Database!G$2:G$100)*$B38,0)</x:f>
        <x:v>0</x:v>
      </x:c>
      <x:c r="I38" s="71" t="n">
        <x:f>IFERROR(_xlfn.XLOOKUP($A38,Database!$A$2:$A$100,Database!H$2:H$100)*$B38,0)</x:f>
        <x:v>0</x:v>
      </x:c>
      <x:c r="J38" s="71" t="n">
        <x:f>IFERROR(_xlfn.XLOOKUP($A38,Database!$A$2:$A$100,Database!I$2:I$100)*$B38,0)</x:f>
        <x:v>0</x:v>
      </x:c>
    </x:row>
    <x:row r="39">
      <x:c r="A39" s="63"/>
      <x:c r="B39" s="66"/>
      <x:c r="C39" s="71" t="n">
        <x:f>IFERROR(_xlfn.XLOOKUP($A39,Database!$A$2:$A$100,Database!B$2:B$100)*$B39,0)</x:f>
        <x:v>0</x:v>
      </x:c>
      <x:c r="D39" s="71" t="n">
        <x:f>IFERROR(_xlfn.XLOOKUP($A39,Database!$A$2:$A$100,Database!C$2:C$100)*$B39,0)</x:f>
        <x:v>0</x:v>
      </x:c>
      <x:c r="E39" s="71" t="n">
        <x:f>IFERROR(_xlfn.XLOOKUP($A39,Database!$A$2:$A$100,Database!D$2:D$100)*$B39,0)</x:f>
        <x:v>0</x:v>
      </x:c>
      <x:c r="F39" s="71" t="n">
        <x:f>IFERROR(_xlfn.XLOOKUP($A39,Database!$A$2:$A$100,Database!E$2:E$100)*$B39,0)</x:f>
        <x:v>0</x:v>
      </x:c>
      <x:c r="G39" s="71" t="n">
        <x:f>IFERROR(_xlfn.XLOOKUP($A39,Database!$A$2:$A$100,Database!F$2:F$100)*$B39,0)</x:f>
        <x:v>0</x:v>
      </x:c>
      <x:c r="H39" s="71" t="n">
        <x:f>IFERROR(_xlfn.XLOOKUP($A39,Database!$A$2:$A$100,Database!G$2:G$100)*$B39,0)</x:f>
        <x:v>0</x:v>
      </x:c>
      <x:c r="I39" s="71" t="n">
        <x:f>IFERROR(_xlfn.XLOOKUP($A39,Database!$A$2:$A$100,Database!H$2:H$100)*$B39,0)</x:f>
        <x:v>0</x:v>
      </x:c>
      <x:c r="J39" s="71" t="n">
        <x:f>IFERROR(_xlfn.XLOOKUP($A39,Database!$A$2:$A$100,Database!I$2:I$100)*$B39,0)</x:f>
        <x:v>0</x:v>
      </x:c>
    </x:row>
    <x:row r="40">
      <x:c r="A40" s="63"/>
      <x:c r="B40" s="66"/>
      <x:c r="C40" s="71" t="n">
        <x:f>IFERROR(_xlfn.XLOOKUP($A40,Database!$A$2:$A$100,Database!B$2:B$100)*$B40,0)</x:f>
        <x:v>0</x:v>
      </x:c>
      <x:c r="D40" s="71" t="n">
        <x:f>IFERROR(_xlfn.XLOOKUP($A40,Database!$A$2:$A$100,Database!C$2:C$100)*$B40,0)</x:f>
        <x:v>0</x:v>
      </x:c>
      <x:c r="E40" s="71" t="n">
        <x:f>IFERROR(_xlfn.XLOOKUP($A40,Database!$A$2:$A$100,Database!D$2:D$100)*$B40,0)</x:f>
        <x:v>0</x:v>
      </x:c>
      <x:c r="F40" s="71" t="n">
        <x:f>IFERROR(_xlfn.XLOOKUP($A40,Database!$A$2:$A$100,Database!E$2:E$100)*$B40,0)</x:f>
        <x:v>0</x:v>
      </x:c>
      <x:c r="G40" s="71" t="n">
        <x:f>IFERROR(_xlfn.XLOOKUP($A40,Database!$A$2:$A$100,Database!F$2:F$100)*$B40,0)</x:f>
        <x:v>0</x:v>
      </x:c>
      <x:c r="H40" s="71" t="n">
        <x:f>IFERROR(_xlfn.XLOOKUP($A40,Database!$A$2:$A$100,Database!G$2:G$100)*$B40,0)</x:f>
        <x:v>0</x:v>
      </x:c>
      <x:c r="I40" s="71" t="n">
        <x:f>IFERROR(_xlfn.XLOOKUP($A40,Database!$A$2:$A$100,Database!H$2:H$100)*$B40,0)</x:f>
        <x:v>0</x:v>
      </x:c>
      <x:c r="J40" s="71" t="n">
        <x:f>IFERROR(_xlfn.XLOOKUP($A40,Database!$A$2:$A$100,Database!I$2:I$100)*$B40,0)</x:f>
        <x:v>0</x:v>
      </x:c>
    </x:row>
    <x:row r="41">
      <x:c r="A41" s="63"/>
      <x:c r="B41" s="66"/>
      <x:c r="C41" s="71" t="n">
        <x:f>IFERROR(_xlfn.XLOOKUP($A41,Database!$A$2:$A$100,Database!B$2:B$100)*$B41,0)</x:f>
        <x:v>0</x:v>
      </x:c>
      <x:c r="D41" s="71" t="n">
        <x:f>IFERROR(_xlfn.XLOOKUP($A41,Database!$A$2:$A$100,Database!C$2:C$100)*$B41,0)</x:f>
        <x:v>0</x:v>
      </x:c>
      <x:c r="E41" s="71" t="n">
        <x:f>IFERROR(_xlfn.XLOOKUP($A41,Database!$A$2:$A$100,Database!D$2:D$100)*$B41,0)</x:f>
        <x:v>0</x:v>
      </x:c>
      <x:c r="F41" s="71" t="n">
        <x:f>IFERROR(_xlfn.XLOOKUP($A41,Database!$A$2:$A$100,Database!E$2:E$100)*$B41,0)</x:f>
        <x:v>0</x:v>
      </x:c>
      <x:c r="G41" s="71" t="n">
        <x:f>IFERROR(_xlfn.XLOOKUP($A41,Database!$A$2:$A$100,Database!F$2:F$100)*$B41,0)</x:f>
        <x:v>0</x:v>
      </x:c>
      <x:c r="H41" s="71" t="n">
        <x:f>IFERROR(_xlfn.XLOOKUP($A41,Database!$A$2:$A$100,Database!G$2:G$100)*$B41,0)</x:f>
        <x:v>0</x:v>
      </x:c>
      <x:c r="I41" s="71" t="n">
        <x:f>IFERROR(_xlfn.XLOOKUP($A41,Database!$A$2:$A$100,Database!H$2:H$100)*$B41,0)</x:f>
        <x:v>0</x:v>
      </x:c>
      <x:c r="J41" s="71" t="n">
        <x:f>IFERROR(_xlfn.XLOOKUP($A41,Database!$A$2:$A$100,Database!I$2:I$100)*$B41,0)</x:f>
        <x:v>0</x:v>
      </x:c>
    </x:row>
    <x:row r="42">
      <x:c r="A42" s="63"/>
      <x:c r="B42" s="66"/>
      <x:c r="C42" s="71" t="n">
        <x:f>IFERROR(_xlfn.XLOOKUP($A42,Database!$A$2:$A$100,Database!B$2:B$100)*$B42,0)</x:f>
        <x:v>0</x:v>
      </x:c>
      <x:c r="D42" s="71" t="n">
        <x:f>IFERROR(_xlfn.XLOOKUP($A42,Database!$A$2:$A$100,Database!C$2:C$100)*$B42,0)</x:f>
        <x:v>0</x:v>
      </x:c>
      <x:c r="E42" s="71" t="n">
        <x:f>IFERROR(_xlfn.XLOOKUP($A42,Database!$A$2:$A$100,Database!D$2:D$100)*$B42,0)</x:f>
        <x:v>0</x:v>
      </x:c>
      <x:c r="F42" s="71" t="n">
        <x:f>IFERROR(_xlfn.XLOOKUP($A42,Database!$A$2:$A$100,Database!E$2:E$100)*$B42,0)</x:f>
        <x:v>0</x:v>
      </x:c>
      <x:c r="G42" s="71" t="n">
        <x:f>IFERROR(_xlfn.XLOOKUP($A42,Database!$A$2:$A$100,Database!F$2:F$100)*$B42,0)</x:f>
        <x:v>0</x:v>
      </x:c>
      <x:c r="H42" s="71" t="n">
        <x:f>IFERROR(_xlfn.XLOOKUP($A42,Database!$A$2:$A$100,Database!G$2:G$100)*$B42,0)</x:f>
        <x:v>0</x:v>
      </x:c>
      <x:c r="I42" s="71" t="n">
        <x:f>IFERROR(_xlfn.XLOOKUP($A42,Database!$A$2:$A$100,Database!H$2:H$100)*$B42,0)</x:f>
        <x:v>0</x:v>
      </x:c>
      <x:c r="J42" s="71" t="n">
        <x:f>IFERROR(_xlfn.XLOOKUP($A42,Database!$A$2:$A$100,Database!I$2:I$100)*$B42,0)</x:f>
        <x:v>0</x:v>
      </x:c>
    </x:row>
    <x:row r="43">
      <x:c r="A43" s="63"/>
      <x:c r="B43" s="66"/>
      <x:c r="C43" s="71" t="n">
        <x:f>IFERROR(_xlfn.XLOOKUP($A43,Database!$A$2:$A$100,Database!B$2:B$100)*$B43,0)</x:f>
        <x:v>0</x:v>
      </x:c>
      <x:c r="D43" s="71" t="n">
        <x:f>IFERROR(_xlfn.XLOOKUP($A43,Database!$A$2:$A$100,Database!C$2:C$100)*$B43,0)</x:f>
        <x:v>0</x:v>
      </x:c>
      <x:c r="E43" s="71" t="n">
        <x:f>IFERROR(_xlfn.XLOOKUP($A43,Database!$A$2:$A$100,Database!D$2:D$100)*$B43,0)</x:f>
        <x:v>0</x:v>
      </x:c>
      <x:c r="F43" s="71" t="n">
        <x:f>IFERROR(_xlfn.XLOOKUP($A43,Database!$A$2:$A$100,Database!E$2:E$100)*$B43,0)</x:f>
        <x:v>0</x:v>
      </x:c>
      <x:c r="G43" s="71" t="n">
        <x:f>IFERROR(_xlfn.XLOOKUP($A43,Database!$A$2:$A$100,Database!F$2:F$100)*$B43,0)</x:f>
        <x:v>0</x:v>
      </x:c>
      <x:c r="H43" s="71" t="n">
        <x:f>IFERROR(_xlfn.XLOOKUP($A43,Database!$A$2:$A$100,Database!G$2:G$100)*$B43,0)</x:f>
        <x:v>0</x:v>
      </x:c>
      <x:c r="I43" s="71" t="n">
        <x:f>IFERROR(_xlfn.XLOOKUP($A43,Database!$A$2:$A$100,Database!H$2:H$100)*$B43,0)</x:f>
        <x:v>0</x:v>
      </x:c>
      <x:c r="J43" s="71" t="n">
        <x:f>IFERROR(_xlfn.XLOOKUP($A43,Database!$A$2:$A$100,Database!I$2:I$100)*$B43,0)</x:f>
        <x:v>0</x:v>
      </x:c>
    </x:row>
    <x:row r="44">
      <x:c r="A44" s="63"/>
      <x:c r="B44" s="66"/>
      <x:c r="C44" s="71" t="n">
        <x:f>IFERROR(_xlfn.XLOOKUP($A44,Database!$A$2:$A$100,Database!B$2:B$100)*$B44,0)</x:f>
        <x:v>0</x:v>
      </x:c>
      <x:c r="D44" s="71" t="n">
        <x:f>IFERROR(_xlfn.XLOOKUP($A44,Database!$A$2:$A$100,Database!C$2:C$100)*$B44,0)</x:f>
        <x:v>0</x:v>
      </x:c>
      <x:c r="E44" s="71" t="n">
        <x:f>IFERROR(_xlfn.XLOOKUP($A44,Database!$A$2:$A$100,Database!D$2:D$100)*$B44,0)</x:f>
        <x:v>0</x:v>
      </x:c>
      <x:c r="F44" s="71" t="n">
        <x:f>IFERROR(_xlfn.XLOOKUP($A44,Database!$A$2:$A$100,Database!E$2:E$100)*$B44,0)</x:f>
        <x:v>0</x:v>
      </x:c>
      <x:c r="G44" s="71" t="n">
        <x:f>IFERROR(_xlfn.XLOOKUP($A44,Database!$A$2:$A$100,Database!F$2:F$100)*$B44,0)</x:f>
        <x:v>0</x:v>
      </x:c>
      <x:c r="H44" s="71" t="n">
        <x:f>IFERROR(_xlfn.XLOOKUP($A44,Database!$A$2:$A$100,Database!G$2:G$100)*$B44,0)</x:f>
        <x:v>0</x:v>
      </x:c>
      <x:c r="I44" s="71" t="n">
        <x:f>IFERROR(_xlfn.XLOOKUP($A44,Database!$A$2:$A$100,Database!H$2:H$100)*$B44,0)</x:f>
        <x:v>0</x:v>
      </x:c>
      <x:c r="J44" s="71" t="n">
        <x:f>IFERROR(_xlfn.XLOOKUP($A44,Database!$A$2:$A$100,Database!I$2:I$100)*$B44,0)</x:f>
        <x:v>0</x:v>
      </x:c>
    </x:row>
    <x:row r="45">
      <x:c r="A45" s="63"/>
      <x:c r="B45" s="66"/>
      <x:c r="C45" s="71" t="n">
        <x:f>IFERROR(_xlfn.XLOOKUP($A45,Database!$A$2:$A$100,Database!B$2:B$100)*$B45,0)</x:f>
        <x:v>0</x:v>
      </x:c>
      <x:c r="D45" s="71" t="n">
        <x:f>IFERROR(_xlfn.XLOOKUP($A45,Database!$A$2:$A$100,Database!C$2:C$100)*$B45,0)</x:f>
        <x:v>0</x:v>
      </x:c>
      <x:c r="E45" s="71" t="n">
        <x:f>IFERROR(_xlfn.XLOOKUP($A45,Database!$A$2:$A$100,Database!D$2:D$100)*$B45,0)</x:f>
        <x:v>0</x:v>
      </x:c>
      <x:c r="F45" s="71" t="n">
        <x:f>IFERROR(_xlfn.XLOOKUP($A45,Database!$A$2:$A$100,Database!E$2:E$100)*$B45,0)</x:f>
        <x:v>0</x:v>
      </x:c>
      <x:c r="G45" s="71" t="n">
        <x:f>IFERROR(_xlfn.XLOOKUP($A45,Database!$A$2:$A$100,Database!F$2:F$100)*$B45,0)</x:f>
        <x:v>0</x:v>
      </x:c>
      <x:c r="H45" s="71" t="n">
        <x:f>IFERROR(_xlfn.XLOOKUP($A45,Database!$A$2:$A$100,Database!G$2:G$100)*$B45,0)</x:f>
        <x:v>0</x:v>
      </x:c>
      <x:c r="I45" s="71" t="n">
        <x:f>IFERROR(_xlfn.XLOOKUP($A45,Database!$A$2:$A$100,Database!H$2:H$100)*$B45,0)</x:f>
        <x:v>0</x:v>
      </x:c>
      <x:c r="J45" s="71" t="n">
        <x:f>IFERROR(_xlfn.XLOOKUP($A45,Database!$A$2:$A$100,Database!I$2:I$100)*$B45,0)</x:f>
        <x:v>0</x:v>
      </x:c>
    </x:row>
    <x:row r="46">
      <x:c r="A46" s="63"/>
      <x:c r="B46" s="66"/>
      <x:c r="C46" s="71" t="n">
        <x:f>IFERROR(_xlfn.XLOOKUP($A46,Database!$A$2:$A$100,Database!B$2:B$100)*$B46,0)</x:f>
        <x:v>0</x:v>
      </x:c>
      <x:c r="D46" s="71" t="n">
        <x:f>IFERROR(_xlfn.XLOOKUP($A46,Database!$A$2:$A$100,Database!C$2:C$100)*$B46,0)</x:f>
        <x:v>0</x:v>
      </x:c>
      <x:c r="E46" s="71" t="n">
        <x:f>IFERROR(_xlfn.XLOOKUP($A46,Database!$A$2:$A$100,Database!D$2:D$100)*$B46,0)</x:f>
        <x:v>0</x:v>
      </x:c>
      <x:c r="F46" s="71" t="n">
        <x:f>IFERROR(_xlfn.XLOOKUP($A46,Database!$A$2:$A$100,Database!E$2:E$100)*$B46,0)</x:f>
        <x:v>0</x:v>
      </x:c>
      <x:c r="G46" s="71" t="n">
        <x:f>IFERROR(_xlfn.XLOOKUP($A46,Database!$A$2:$A$100,Database!F$2:F$100)*$B46,0)</x:f>
        <x:v>0</x:v>
      </x:c>
      <x:c r="H46" s="71" t="n">
        <x:f>IFERROR(_xlfn.XLOOKUP($A46,Database!$A$2:$A$100,Database!G$2:G$100)*$B46,0)</x:f>
        <x:v>0</x:v>
      </x:c>
      <x:c r="I46" s="71" t="n">
        <x:f>IFERROR(_xlfn.XLOOKUP($A46,Database!$A$2:$A$100,Database!H$2:H$100)*$B46,0)</x:f>
        <x:v>0</x:v>
      </x:c>
      <x:c r="J46" s="71" t="n">
        <x:f>IFERROR(_xlfn.XLOOKUP($A46,Database!$A$2:$A$100,Database!I$2:I$100)*$B46,0)</x:f>
        <x:v>0</x:v>
      </x:c>
    </x:row>
    <x:row r="47">
      <x:c r="A47" s="63"/>
      <x:c r="B47" s="66"/>
      <x:c r="C47" s="71" t="n">
        <x:f>IFERROR(_xlfn.XLOOKUP($A47,Database!$A$2:$A$100,Database!B$2:B$100)*$B47,0)</x:f>
        <x:v>0</x:v>
      </x:c>
      <x:c r="D47" s="71" t="n">
        <x:f>IFERROR(_xlfn.XLOOKUP($A47,Database!$A$2:$A$100,Database!C$2:C$100)*$B47,0)</x:f>
        <x:v>0</x:v>
      </x:c>
      <x:c r="E47" s="71" t="n">
        <x:f>IFERROR(_xlfn.XLOOKUP($A47,Database!$A$2:$A$100,Database!D$2:D$100)*$B47,0)</x:f>
        <x:v>0</x:v>
      </x:c>
      <x:c r="F47" s="71" t="n">
        <x:f>IFERROR(_xlfn.XLOOKUP($A47,Database!$A$2:$A$100,Database!E$2:E$100)*$B47,0)</x:f>
        <x:v>0</x:v>
      </x:c>
      <x:c r="G47" s="71" t="n">
        <x:f>IFERROR(_xlfn.XLOOKUP($A47,Database!$A$2:$A$100,Database!F$2:F$100)*$B47,0)</x:f>
        <x:v>0</x:v>
      </x:c>
      <x:c r="H47" s="71" t="n">
        <x:f>IFERROR(_xlfn.XLOOKUP($A47,Database!$A$2:$A$100,Database!G$2:G$100)*$B47,0)</x:f>
        <x:v>0</x:v>
      </x:c>
      <x:c r="I47" s="71" t="n">
        <x:f>IFERROR(_xlfn.XLOOKUP($A47,Database!$A$2:$A$100,Database!H$2:H$100)*$B47,0)</x:f>
        <x:v>0</x:v>
      </x:c>
      <x:c r="J47" s="71" t="n">
        <x:f>IFERROR(_xlfn.XLOOKUP($A47,Database!$A$2:$A$100,Database!I$2:I$100)*$B47,0)</x:f>
        <x:v>0</x:v>
      </x:c>
    </x:row>
    <x:row r="48">
      <x:c r="A48" s="63"/>
      <x:c r="B48" s="66"/>
      <x:c r="C48" s="71" t="n">
        <x:f>IFERROR(_xlfn.XLOOKUP($A48,Database!$A$2:$A$100,Database!B$2:B$100)*$B48,0)</x:f>
        <x:v>0</x:v>
      </x:c>
      <x:c r="D48" s="71" t="n">
        <x:f>IFERROR(_xlfn.XLOOKUP($A48,Database!$A$2:$A$100,Database!C$2:C$100)*$B48,0)</x:f>
        <x:v>0</x:v>
      </x:c>
      <x:c r="E48" s="71" t="n">
        <x:f>IFERROR(_xlfn.XLOOKUP($A48,Database!$A$2:$A$100,Database!D$2:D$100)*$B48,0)</x:f>
        <x:v>0</x:v>
      </x:c>
      <x:c r="F48" s="71" t="n">
        <x:f>IFERROR(_xlfn.XLOOKUP($A48,Database!$A$2:$A$100,Database!E$2:E$100)*$B48,0)</x:f>
        <x:v>0</x:v>
      </x:c>
      <x:c r="G48" s="71" t="n">
        <x:f>IFERROR(_xlfn.XLOOKUP($A48,Database!$A$2:$A$100,Database!F$2:F$100)*$B48,0)</x:f>
        <x:v>0</x:v>
      </x:c>
      <x:c r="H48" s="71" t="n">
        <x:f>IFERROR(_xlfn.XLOOKUP($A48,Database!$A$2:$A$100,Database!G$2:G$100)*$B48,0)</x:f>
        <x:v>0</x:v>
      </x:c>
      <x:c r="I48" s="71" t="n">
        <x:f>IFERROR(_xlfn.XLOOKUP($A48,Database!$A$2:$A$100,Database!H$2:H$100)*$B48,0)</x:f>
        <x:v>0</x:v>
      </x:c>
      <x:c r="J48" s="71" t="n">
        <x:f>IFERROR(_xlfn.XLOOKUP($A48,Database!$A$2:$A$100,Database!I$2:I$100)*$B48,0)</x:f>
        <x:v>0</x:v>
      </x:c>
    </x:row>
    <x:row r="49">
      <x:c r="A49" s="63"/>
      <x:c r="B49" s="66"/>
      <x:c r="C49" s="71" t="n">
        <x:f>IFERROR(_xlfn.XLOOKUP($A49,Database!$A$2:$A$100,Database!B$2:B$100)*$B49,0)</x:f>
        <x:v>0</x:v>
      </x:c>
      <x:c r="D49" s="71" t="n">
        <x:f>IFERROR(_xlfn.XLOOKUP($A49,Database!$A$2:$A$100,Database!C$2:C$100)*$B49,0)</x:f>
        <x:v>0</x:v>
      </x:c>
      <x:c r="E49" s="71" t="n">
        <x:f>IFERROR(_xlfn.XLOOKUP($A49,Database!$A$2:$A$100,Database!D$2:D$100)*$B49,0)</x:f>
        <x:v>0</x:v>
      </x:c>
      <x:c r="F49" s="71" t="n">
        <x:f>IFERROR(_xlfn.XLOOKUP($A49,Database!$A$2:$A$100,Database!E$2:E$100)*$B49,0)</x:f>
        <x:v>0</x:v>
      </x:c>
      <x:c r="G49" s="71" t="n">
        <x:f>IFERROR(_xlfn.XLOOKUP($A49,Database!$A$2:$A$100,Database!F$2:F$100)*$B49,0)</x:f>
        <x:v>0</x:v>
      </x:c>
      <x:c r="H49" s="71" t="n">
        <x:f>IFERROR(_xlfn.XLOOKUP($A49,Database!$A$2:$A$100,Database!G$2:G$100)*$B49,0)</x:f>
        <x:v>0</x:v>
      </x:c>
      <x:c r="I49" s="71" t="n">
        <x:f>IFERROR(_xlfn.XLOOKUP($A49,Database!$A$2:$A$100,Database!H$2:H$100)*$B49,0)</x:f>
        <x:v>0</x:v>
      </x:c>
      <x:c r="J49" s="71" t="n">
        <x:f>IFERROR(_xlfn.XLOOKUP($A49,Database!$A$2:$A$100,Database!I$2:I$100)*$B49,0)</x:f>
        <x:v>0</x:v>
      </x:c>
    </x:row>
    <x:row r="50">
      <x:c r="A50" s="63"/>
      <x:c r="B50" s="66"/>
      <x:c r="C50" s="71" t="n">
        <x:f>IFERROR(_xlfn.XLOOKUP($A50,Database!$A$2:$A$100,Database!B$2:B$100)*$B50,0)</x:f>
        <x:v>0</x:v>
      </x:c>
      <x:c r="D50" s="71" t="n">
        <x:f>IFERROR(_xlfn.XLOOKUP($A50,Database!$A$2:$A$100,Database!C$2:C$100)*$B50,0)</x:f>
        <x:v>0</x:v>
      </x:c>
      <x:c r="E50" s="71" t="n">
        <x:f>IFERROR(_xlfn.XLOOKUP($A50,Database!$A$2:$A$100,Database!D$2:D$100)*$B50,0)</x:f>
        <x:v>0</x:v>
      </x:c>
      <x:c r="F50" s="71" t="n">
        <x:f>IFERROR(_xlfn.XLOOKUP($A50,Database!$A$2:$A$100,Database!E$2:E$100)*$B50,0)</x:f>
        <x:v>0</x:v>
      </x:c>
      <x:c r="G50" s="71" t="n">
        <x:f>IFERROR(_xlfn.XLOOKUP($A50,Database!$A$2:$A$100,Database!F$2:F$100)*$B50,0)</x:f>
        <x:v>0</x:v>
      </x:c>
      <x:c r="H50" s="71" t="n">
        <x:f>IFERROR(_xlfn.XLOOKUP($A50,Database!$A$2:$A$100,Database!G$2:G$100)*$B50,0)</x:f>
        <x:v>0</x:v>
      </x:c>
      <x:c r="I50" s="71" t="n">
        <x:f>IFERROR(_xlfn.XLOOKUP($A50,Database!$A$2:$A$100,Database!H$2:H$100)*$B50,0)</x:f>
        <x:v>0</x:v>
      </x:c>
      <x:c r="J50" s="71" t="n">
        <x:f>IFERROR(_xlfn.XLOOKUP($A50,Database!$A$2:$A$100,Database!I$2:I$100)*$B50,0)</x:f>
        <x:v>0</x:v>
      </x:c>
    </x:row>
    <x:row r="51">
      <x:c r="A51" s="63"/>
      <x:c r="B51" s="66"/>
      <x:c r="C51" s="71" t="n">
        <x:f>IFERROR(_xlfn.XLOOKUP($A51,Database!$A$2:$A$100,Database!B$2:B$100)*$B51,0)</x:f>
        <x:v>0</x:v>
      </x:c>
      <x:c r="D51" s="71" t="n">
        <x:f>IFERROR(_xlfn.XLOOKUP($A51,Database!$A$2:$A$100,Database!C$2:C$100)*$B51,0)</x:f>
        <x:v>0</x:v>
      </x:c>
      <x:c r="E51" s="71" t="n">
        <x:f>IFERROR(_xlfn.XLOOKUP($A51,Database!$A$2:$A$100,Database!D$2:D$100)*$B51,0)</x:f>
        <x:v>0</x:v>
      </x:c>
      <x:c r="F51" s="71" t="n">
        <x:f>IFERROR(_xlfn.XLOOKUP($A51,Database!$A$2:$A$100,Database!E$2:E$100)*$B51,0)</x:f>
        <x:v>0</x:v>
      </x:c>
      <x:c r="G51" s="71" t="n">
        <x:f>IFERROR(_xlfn.XLOOKUP($A51,Database!$A$2:$A$100,Database!F$2:F$100)*$B51,0)</x:f>
        <x:v>0</x:v>
      </x:c>
      <x:c r="H51" s="71" t="n">
        <x:f>IFERROR(_xlfn.XLOOKUP($A51,Database!$A$2:$A$100,Database!G$2:G$100)*$B51,0)</x:f>
        <x:v>0</x:v>
      </x:c>
      <x:c r="I51" s="71" t="n">
        <x:f>IFERROR(_xlfn.XLOOKUP($A51,Database!$A$2:$A$100,Database!H$2:H$100)*$B51,0)</x:f>
        <x:v>0</x:v>
      </x:c>
      <x:c r="J51" s="71" t="n">
        <x:f>IFERROR(_xlfn.XLOOKUP($A51,Database!$A$2:$A$100,Database!I$2:I$100)*$B51,0)</x:f>
        <x:v>0</x:v>
      </x:c>
    </x:row>
    <x:row r="52">
      <x:c r="A52" s="63"/>
      <x:c r="B52" s="66"/>
      <x:c r="C52" s="71" t="n">
        <x:f>IFERROR(_xlfn.XLOOKUP($A52,Database!$A$2:$A$100,Database!B$2:B$100)*$B52,0)</x:f>
        <x:v>0</x:v>
      </x:c>
      <x:c r="D52" s="71" t="n">
        <x:f>IFERROR(_xlfn.XLOOKUP($A52,Database!$A$2:$A$100,Database!C$2:C$100)*$B52,0)</x:f>
        <x:v>0</x:v>
      </x:c>
      <x:c r="E52" s="71" t="n">
        <x:f>IFERROR(_xlfn.XLOOKUP($A52,Database!$A$2:$A$100,Database!D$2:D$100)*$B52,0)</x:f>
        <x:v>0</x:v>
      </x:c>
      <x:c r="F52" s="71" t="n">
        <x:f>IFERROR(_xlfn.XLOOKUP($A52,Database!$A$2:$A$100,Database!E$2:E$100)*$B52,0)</x:f>
        <x:v>0</x:v>
      </x:c>
      <x:c r="G52" s="71" t="n">
        <x:f>IFERROR(_xlfn.XLOOKUP($A52,Database!$A$2:$A$100,Database!F$2:F$100)*$B52,0)</x:f>
        <x:v>0</x:v>
      </x:c>
      <x:c r="H52" s="71" t="n">
        <x:f>IFERROR(_xlfn.XLOOKUP($A52,Database!$A$2:$A$100,Database!G$2:G$100)*$B52,0)</x:f>
        <x:v>0</x:v>
      </x:c>
      <x:c r="I52" s="71" t="n">
        <x:f>IFERROR(_xlfn.XLOOKUP($A52,Database!$A$2:$A$100,Database!H$2:H$100)*$B52,0)</x:f>
        <x:v>0</x:v>
      </x:c>
      <x:c r="J52" s="71" t="n">
        <x:f>IFERROR(_xlfn.XLOOKUP($A52,Database!$A$2:$A$100,Database!I$2:I$100)*$B52,0)</x:f>
        <x:v>0</x:v>
      </x:c>
    </x:row>
    <x:row r="53">
      <x:c r="A53" s="63"/>
      <x:c r="B53" s="66"/>
      <x:c r="C53" s="71" t="n">
        <x:f>IFERROR(_xlfn.XLOOKUP($A53,Database!$A$2:$A$100,Database!B$2:B$100)*$B53,0)</x:f>
        <x:v>0</x:v>
      </x:c>
      <x:c r="D53" s="71" t="n">
        <x:f>IFERROR(_xlfn.XLOOKUP($A53,Database!$A$2:$A$100,Database!C$2:C$100)*$B53,0)</x:f>
        <x:v>0</x:v>
      </x:c>
      <x:c r="E53" s="71" t="n">
        <x:f>IFERROR(_xlfn.XLOOKUP($A53,Database!$A$2:$A$100,Database!D$2:D$100)*$B53,0)</x:f>
        <x:v>0</x:v>
      </x:c>
      <x:c r="F53" s="71" t="n">
        <x:f>IFERROR(_xlfn.XLOOKUP($A53,Database!$A$2:$A$100,Database!E$2:E$100)*$B53,0)</x:f>
        <x:v>0</x:v>
      </x:c>
      <x:c r="G53" s="71" t="n">
        <x:f>IFERROR(_xlfn.XLOOKUP($A53,Database!$A$2:$A$100,Database!F$2:F$100)*$B53,0)</x:f>
        <x:v>0</x:v>
      </x:c>
      <x:c r="H53" s="71" t="n">
        <x:f>IFERROR(_xlfn.XLOOKUP($A53,Database!$A$2:$A$100,Database!G$2:G$100)*$B53,0)</x:f>
        <x:v>0</x:v>
      </x:c>
      <x:c r="I53" s="71" t="n">
        <x:f>IFERROR(_xlfn.XLOOKUP($A53,Database!$A$2:$A$100,Database!H$2:H$100)*$B53,0)</x:f>
        <x:v>0</x:v>
      </x:c>
      <x:c r="J53" s="71" t="n">
        <x:f>IFERROR(_xlfn.XLOOKUP($A53,Database!$A$2:$A$100,Database!I$2:I$100)*$B53,0)</x:f>
        <x:v>0</x:v>
      </x:c>
    </x:row>
    <x:row r="54">
      <x:c r="A54" s="63"/>
      <x:c r="B54" s="66"/>
      <x:c r="C54" s="71" t="n">
        <x:f>IFERROR(_xlfn.XLOOKUP($A54,Database!$A$2:$A$100,Database!B$2:B$100)*$B54,0)</x:f>
        <x:v>0</x:v>
      </x:c>
      <x:c r="D54" s="71" t="n">
        <x:f>IFERROR(_xlfn.XLOOKUP($A54,Database!$A$2:$A$100,Database!C$2:C$100)*$B54,0)</x:f>
        <x:v>0</x:v>
      </x:c>
      <x:c r="E54" s="71" t="n">
        <x:f>IFERROR(_xlfn.XLOOKUP($A54,Database!$A$2:$A$100,Database!D$2:D$100)*$B54,0)</x:f>
        <x:v>0</x:v>
      </x:c>
      <x:c r="F54" s="71" t="n">
        <x:f>IFERROR(_xlfn.XLOOKUP($A54,Database!$A$2:$A$100,Database!E$2:E$100)*$B54,0)</x:f>
        <x:v>0</x:v>
      </x:c>
      <x:c r="G54" s="71" t="n">
        <x:f>IFERROR(_xlfn.XLOOKUP($A54,Database!$A$2:$A$100,Database!F$2:F$100)*$B54,0)</x:f>
        <x:v>0</x:v>
      </x:c>
      <x:c r="H54" s="71" t="n">
        <x:f>IFERROR(_xlfn.XLOOKUP($A54,Database!$A$2:$A$100,Database!G$2:G$100)*$B54,0)</x:f>
        <x:v>0</x:v>
      </x:c>
      <x:c r="I54" s="71" t="n">
        <x:f>IFERROR(_xlfn.XLOOKUP($A54,Database!$A$2:$A$100,Database!H$2:H$100)*$B54,0)</x:f>
        <x:v>0</x:v>
      </x:c>
      <x:c r="J54" s="71" t="n">
        <x:f>IFERROR(_xlfn.XLOOKUP($A54,Database!$A$2:$A$100,Database!I$2:I$100)*$B54,0)</x:f>
        <x:v>0</x:v>
      </x:c>
    </x:row>
    <x:row r="55">
      <x:c r="A55" s="63"/>
      <x:c r="B55" s="66"/>
      <x:c r="C55" s="71" t="n">
        <x:f>IFERROR(_xlfn.XLOOKUP($A55,Database!$A$2:$A$100,Database!B$2:B$100)*$B55,0)</x:f>
        <x:v>0</x:v>
      </x:c>
      <x:c r="D55" s="71" t="n">
        <x:f>IFERROR(_xlfn.XLOOKUP($A55,Database!$A$2:$A$100,Database!C$2:C$100)*$B55,0)</x:f>
        <x:v>0</x:v>
      </x:c>
      <x:c r="E55" s="71" t="n">
        <x:f>IFERROR(_xlfn.XLOOKUP($A55,Database!$A$2:$A$100,Database!D$2:D$100)*$B55,0)</x:f>
        <x:v>0</x:v>
      </x:c>
      <x:c r="F55" s="71" t="n">
        <x:f>IFERROR(_xlfn.XLOOKUP($A55,Database!$A$2:$A$100,Database!E$2:E$100)*$B55,0)</x:f>
        <x:v>0</x:v>
      </x:c>
      <x:c r="G55" s="71" t="n">
        <x:f>IFERROR(_xlfn.XLOOKUP($A55,Database!$A$2:$A$100,Database!F$2:F$100)*$B55,0)</x:f>
        <x:v>0</x:v>
      </x:c>
      <x:c r="H55" s="71" t="n">
        <x:f>IFERROR(_xlfn.XLOOKUP($A55,Database!$A$2:$A$100,Database!G$2:G$100)*$B55,0)</x:f>
        <x:v>0</x:v>
      </x:c>
      <x:c r="I55" s="71" t="n">
        <x:f>IFERROR(_xlfn.XLOOKUP($A55,Database!$A$2:$A$100,Database!H$2:H$100)*$B55,0)</x:f>
        <x:v>0</x:v>
      </x:c>
      <x:c r="J55" s="71" t="n">
        <x:f>IFERROR(_xlfn.XLOOKUP($A55,Database!$A$2:$A$100,Database!I$2:I$100)*$B55,0)</x:f>
        <x:v>0</x:v>
      </x:c>
    </x:row>
    <x:row r="56">
      <x:c r="A56" s="63"/>
      <x:c r="B56" s="66"/>
      <x:c r="C56" s="71" t="n">
        <x:f>IFERROR(_xlfn.XLOOKUP($A56,Database!$A$2:$A$100,Database!B$2:B$100)*$B56,0)</x:f>
        <x:v>0</x:v>
      </x:c>
      <x:c r="D56" s="71" t="n">
        <x:f>IFERROR(_xlfn.XLOOKUP($A56,Database!$A$2:$A$100,Database!C$2:C$100)*$B56,0)</x:f>
        <x:v>0</x:v>
      </x:c>
      <x:c r="E56" s="71" t="n">
        <x:f>IFERROR(_xlfn.XLOOKUP($A56,Database!$A$2:$A$100,Database!D$2:D$100)*$B56,0)</x:f>
        <x:v>0</x:v>
      </x:c>
      <x:c r="F56" s="71" t="n">
        <x:f>IFERROR(_xlfn.XLOOKUP($A56,Database!$A$2:$A$100,Database!E$2:E$100)*$B56,0)</x:f>
        <x:v>0</x:v>
      </x:c>
      <x:c r="G56" s="71" t="n">
        <x:f>IFERROR(_xlfn.XLOOKUP($A56,Database!$A$2:$A$100,Database!F$2:F$100)*$B56,0)</x:f>
        <x:v>0</x:v>
      </x:c>
      <x:c r="H56" s="71" t="n">
        <x:f>IFERROR(_xlfn.XLOOKUP($A56,Database!$A$2:$A$100,Database!G$2:G$100)*$B56,0)</x:f>
        <x:v>0</x:v>
      </x:c>
      <x:c r="I56" s="71" t="n">
        <x:f>IFERROR(_xlfn.XLOOKUP($A56,Database!$A$2:$A$100,Database!H$2:H$100)*$B56,0)</x:f>
        <x:v>0</x:v>
      </x:c>
      <x:c r="J56" s="71" t="n">
        <x:f>IFERROR(_xlfn.XLOOKUP($A56,Database!$A$2:$A$100,Database!I$2:I$100)*$B56,0)</x:f>
        <x:v>0</x:v>
      </x:c>
    </x:row>
    <x:row r="57">
      <x:c r="A57" s="63"/>
      <x:c r="B57" s="66"/>
      <x:c r="C57" s="71" t="n">
        <x:f>IFERROR(_xlfn.XLOOKUP($A57,Database!$A$2:$A$100,Database!B$2:B$100)*$B57,0)</x:f>
        <x:v>0</x:v>
      </x:c>
      <x:c r="D57" s="71" t="n">
        <x:f>IFERROR(_xlfn.XLOOKUP($A57,Database!$A$2:$A$100,Database!C$2:C$100)*$B57,0)</x:f>
        <x:v>0</x:v>
      </x:c>
      <x:c r="E57" s="71" t="n">
        <x:f>IFERROR(_xlfn.XLOOKUP($A57,Database!$A$2:$A$100,Database!D$2:D$100)*$B57,0)</x:f>
        <x:v>0</x:v>
      </x:c>
      <x:c r="F57" s="71" t="n">
        <x:f>IFERROR(_xlfn.XLOOKUP($A57,Database!$A$2:$A$100,Database!E$2:E$100)*$B57,0)</x:f>
        <x:v>0</x:v>
      </x:c>
      <x:c r="G57" s="71" t="n">
        <x:f>IFERROR(_xlfn.XLOOKUP($A57,Database!$A$2:$A$100,Database!F$2:F$100)*$B57,0)</x:f>
        <x:v>0</x:v>
      </x:c>
      <x:c r="H57" s="71" t="n">
        <x:f>IFERROR(_xlfn.XLOOKUP($A57,Database!$A$2:$A$100,Database!G$2:G$100)*$B57,0)</x:f>
        <x:v>0</x:v>
      </x:c>
      <x:c r="I57" s="71" t="n">
        <x:f>IFERROR(_xlfn.XLOOKUP($A57,Database!$A$2:$A$100,Database!H$2:H$100)*$B57,0)</x:f>
        <x:v>0</x:v>
      </x:c>
      <x:c r="J57" s="71" t="n">
        <x:f>IFERROR(_xlfn.XLOOKUP($A57,Database!$A$2:$A$100,Database!I$2:I$100)*$B57,0)</x:f>
        <x:v>0</x:v>
      </x:c>
    </x:row>
    <x:row r="58">
      <x:c r="A58" s="63"/>
      <x:c r="B58" s="66"/>
      <x:c r="C58" s="71" t="n">
        <x:f>IFERROR(_xlfn.XLOOKUP($A58,Database!$A$2:$A$100,Database!B$2:B$100)*$B58,0)</x:f>
        <x:v>0</x:v>
      </x:c>
      <x:c r="D58" s="71" t="n">
        <x:f>IFERROR(_xlfn.XLOOKUP($A58,Database!$A$2:$A$100,Database!C$2:C$100)*$B58,0)</x:f>
        <x:v>0</x:v>
      </x:c>
      <x:c r="E58" s="71" t="n">
        <x:f>IFERROR(_xlfn.XLOOKUP($A58,Database!$A$2:$A$100,Database!D$2:D$100)*$B58,0)</x:f>
        <x:v>0</x:v>
      </x:c>
      <x:c r="F58" s="71" t="n">
        <x:f>IFERROR(_xlfn.XLOOKUP($A58,Database!$A$2:$A$100,Database!E$2:E$100)*$B58,0)</x:f>
        <x:v>0</x:v>
      </x:c>
      <x:c r="G58" s="71" t="n">
        <x:f>IFERROR(_xlfn.XLOOKUP($A58,Database!$A$2:$A$100,Database!F$2:F$100)*$B58,0)</x:f>
        <x:v>0</x:v>
      </x:c>
      <x:c r="H58" s="71" t="n">
        <x:f>IFERROR(_xlfn.XLOOKUP($A58,Database!$A$2:$A$100,Database!G$2:G$100)*$B58,0)</x:f>
        <x:v>0</x:v>
      </x:c>
      <x:c r="I58" s="71" t="n">
        <x:f>IFERROR(_xlfn.XLOOKUP($A58,Database!$A$2:$A$100,Database!H$2:H$100)*$B58,0)</x:f>
        <x:v>0</x:v>
      </x:c>
      <x:c r="J58" s="71" t="n">
        <x:f>IFERROR(_xlfn.XLOOKUP($A58,Database!$A$2:$A$100,Database!I$2:I$100)*$B58,0)</x:f>
        <x:v>0</x:v>
      </x:c>
    </x:row>
    <x:row r="59">
      <x:c r="A59" s="63"/>
      <x:c r="B59" s="66"/>
      <x:c r="C59" s="71" t="n">
        <x:f>IFERROR(_xlfn.XLOOKUP($A59,Database!$A$2:$A$100,Database!B$2:B$100)*$B59,0)</x:f>
        <x:v>0</x:v>
      </x:c>
      <x:c r="D59" s="71" t="n">
        <x:f>IFERROR(_xlfn.XLOOKUP($A59,Database!$A$2:$A$100,Database!C$2:C$100)*$B59,0)</x:f>
        <x:v>0</x:v>
      </x:c>
      <x:c r="E59" s="71" t="n">
        <x:f>IFERROR(_xlfn.XLOOKUP($A59,Database!$A$2:$A$100,Database!D$2:D$100)*$B59,0)</x:f>
        <x:v>0</x:v>
      </x:c>
      <x:c r="F59" s="71" t="n">
        <x:f>IFERROR(_xlfn.XLOOKUP($A59,Database!$A$2:$A$100,Database!E$2:E$100)*$B59,0)</x:f>
        <x:v>0</x:v>
      </x:c>
      <x:c r="G59" s="71" t="n">
        <x:f>IFERROR(_xlfn.XLOOKUP($A59,Database!$A$2:$A$100,Database!F$2:F$100)*$B59,0)</x:f>
        <x:v>0</x:v>
      </x:c>
      <x:c r="H59" s="71" t="n">
        <x:f>IFERROR(_xlfn.XLOOKUP($A59,Database!$A$2:$A$100,Database!G$2:G$100)*$B59,0)</x:f>
        <x:v>0</x:v>
      </x:c>
      <x:c r="I59" s="71" t="n">
        <x:f>IFERROR(_xlfn.XLOOKUP($A59,Database!$A$2:$A$100,Database!H$2:H$100)*$B59,0)</x:f>
        <x:v>0</x:v>
      </x:c>
      <x:c r="J59" s="71" t="n">
        <x:f>IFERROR(_xlfn.XLOOKUP($A59,Database!$A$2:$A$100,Database!I$2:I$100)*$B59,0)</x:f>
        <x:v>0</x:v>
      </x:c>
    </x:row>
    <x:row r="60">
      <x:c r="A60" s="63"/>
      <x:c r="B60" s="66"/>
      <x:c r="C60" s="71" t="n">
        <x:f>IFERROR(_xlfn.XLOOKUP($A60,Database!$A$2:$A$100,Database!B$2:B$100)*$B60,0)</x:f>
        <x:v>0</x:v>
      </x:c>
      <x:c r="D60" s="71" t="n">
        <x:f>IFERROR(_xlfn.XLOOKUP($A60,Database!$A$2:$A$100,Database!C$2:C$100)*$B60,0)</x:f>
        <x:v>0</x:v>
      </x:c>
      <x:c r="E60" s="71" t="n">
        <x:f>IFERROR(_xlfn.XLOOKUP($A60,Database!$A$2:$A$100,Database!D$2:D$100)*$B60,0)</x:f>
        <x:v>0</x:v>
      </x:c>
      <x:c r="F60" s="71" t="n">
        <x:f>IFERROR(_xlfn.XLOOKUP($A60,Database!$A$2:$A$100,Database!E$2:E$100)*$B60,0)</x:f>
        <x:v>0</x:v>
      </x:c>
      <x:c r="G60" s="71" t="n">
        <x:f>IFERROR(_xlfn.XLOOKUP($A60,Database!$A$2:$A$100,Database!F$2:F$100)*$B60,0)</x:f>
        <x:v>0</x:v>
      </x:c>
      <x:c r="H60" s="71" t="n">
        <x:f>IFERROR(_xlfn.XLOOKUP($A60,Database!$A$2:$A$100,Database!G$2:G$100)*$B60,0)</x:f>
        <x:v>0</x:v>
      </x:c>
      <x:c r="I60" s="71" t="n">
        <x:f>IFERROR(_xlfn.XLOOKUP($A60,Database!$A$2:$A$100,Database!H$2:H$100)*$B60,0)</x:f>
        <x:v>0</x:v>
      </x:c>
      <x:c r="J60" s="71" t="n">
        <x:f>IFERROR(_xlfn.XLOOKUP($A60,Database!$A$2:$A$100,Database!I$2:I$100)*$B60,0)</x:f>
        <x:v>0</x:v>
      </x:c>
    </x:row>
    <x:row r="61">
      <x:c r="A61" s="63"/>
      <x:c r="B61" s="66"/>
      <x:c r="C61" s="71" t="n">
        <x:f>IFERROR(_xlfn.XLOOKUP($A61,Database!$A$2:$A$100,Database!B$2:B$100)*$B61,0)</x:f>
        <x:v>0</x:v>
      </x:c>
      <x:c r="D61" s="71" t="n">
        <x:f>IFERROR(_xlfn.XLOOKUP($A61,Database!$A$2:$A$100,Database!C$2:C$100)*$B61,0)</x:f>
        <x:v>0</x:v>
      </x:c>
      <x:c r="E61" s="71" t="n">
        <x:f>IFERROR(_xlfn.XLOOKUP($A61,Database!$A$2:$A$100,Database!D$2:D$100)*$B61,0)</x:f>
        <x:v>0</x:v>
      </x:c>
      <x:c r="F61" s="71" t="n">
        <x:f>IFERROR(_xlfn.XLOOKUP($A61,Database!$A$2:$A$100,Database!E$2:E$100)*$B61,0)</x:f>
        <x:v>0</x:v>
      </x:c>
      <x:c r="G61" s="71" t="n">
        <x:f>IFERROR(_xlfn.XLOOKUP($A61,Database!$A$2:$A$100,Database!F$2:F$100)*$B61,0)</x:f>
        <x:v>0</x:v>
      </x:c>
      <x:c r="H61" s="71" t="n">
        <x:f>IFERROR(_xlfn.XLOOKUP($A61,Database!$A$2:$A$100,Database!G$2:G$100)*$B61,0)</x:f>
        <x:v>0</x:v>
      </x:c>
      <x:c r="I61" s="71" t="n">
        <x:f>IFERROR(_xlfn.XLOOKUP($A61,Database!$A$2:$A$100,Database!H$2:H$100)*$B61,0)</x:f>
        <x:v>0</x:v>
      </x:c>
      <x:c r="J61" s="71" t="n">
        <x:f>IFERROR(_xlfn.XLOOKUP($A61,Database!$A$2:$A$100,Database!I$2:I$100)*$B61,0)</x:f>
        <x:v>0</x:v>
      </x:c>
    </x:row>
    <x:row r="62">
      <x:c r="A62" s="63"/>
      <x:c r="B62" s="66"/>
      <x:c r="C62" s="71" t="n">
        <x:f>IFERROR(_xlfn.XLOOKUP($A62,Database!$A$2:$A$100,Database!B$2:B$100)*$B62,0)</x:f>
        <x:v>0</x:v>
      </x:c>
      <x:c r="D62" s="71" t="n">
        <x:f>IFERROR(_xlfn.XLOOKUP($A62,Database!$A$2:$A$100,Database!C$2:C$100)*$B62,0)</x:f>
        <x:v>0</x:v>
      </x:c>
      <x:c r="E62" s="71" t="n">
        <x:f>IFERROR(_xlfn.XLOOKUP($A62,Database!$A$2:$A$100,Database!D$2:D$100)*$B62,0)</x:f>
        <x:v>0</x:v>
      </x:c>
      <x:c r="F62" s="71" t="n">
        <x:f>IFERROR(_xlfn.XLOOKUP($A62,Database!$A$2:$A$100,Database!E$2:E$100)*$B62,0)</x:f>
        <x:v>0</x:v>
      </x:c>
      <x:c r="G62" s="71" t="n">
        <x:f>IFERROR(_xlfn.XLOOKUP($A62,Database!$A$2:$A$100,Database!F$2:F$100)*$B62,0)</x:f>
        <x:v>0</x:v>
      </x:c>
      <x:c r="H62" s="71" t="n">
        <x:f>IFERROR(_xlfn.XLOOKUP($A62,Database!$A$2:$A$100,Database!G$2:G$100)*$B62,0)</x:f>
        <x:v>0</x:v>
      </x:c>
      <x:c r="I62" s="71" t="n">
        <x:f>IFERROR(_xlfn.XLOOKUP($A62,Database!$A$2:$A$100,Database!H$2:H$100)*$B62,0)</x:f>
        <x:v>0</x:v>
      </x:c>
      <x:c r="J62" s="71" t="n">
        <x:f>IFERROR(_xlfn.XLOOKUP($A62,Database!$A$2:$A$100,Database!I$2:I$100)*$B62,0)</x:f>
        <x:v>0</x:v>
      </x:c>
    </x:row>
    <x:row r="63">
      <x:c r="A63" s="63"/>
      <x:c r="B63" s="66"/>
      <x:c r="C63" s="71" t="n">
        <x:f>IFERROR(_xlfn.XLOOKUP($A63,Database!$A$2:$A$100,Database!B$2:B$100)*$B63,0)</x:f>
        <x:v>0</x:v>
      </x:c>
      <x:c r="D63" s="71" t="n">
        <x:f>IFERROR(_xlfn.XLOOKUP($A63,Database!$A$2:$A$100,Database!C$2:C$100)*$B63,0)</x:f>
        <x:v>0</x:v>
      </x:c>
      <x:c r="E63" s="71" t="n">
        <x:f>IFERROR(_xlfn.XLOOKUP($A63,Database!$A$2:$A$100,Database!D$2:D$100)*$B63,0)</x:f>
        <x:v>0</x:v>
      </x:c>
      <x:c r="F63" s="71" t="n">
        <x:f>IFERROR(_xlfn.XLOOKUP($A63,Database!$A$2:$A$100,Database!E$2:E$100)*$B63,0)</x:f>
        <x:v>0</x:v>
      </x:c>
      <x:c r="G63" s="71" t="n">
        <x:f>IFERROR(_xlfn.XLOOKUP($A63,Database!$A$2:$A$100,Database!F$2:F$100)*$B63,0)</x:f>
        <x:v>0</x:v>
      </x:c>
      <x:c r="H63" s="71" t="n">
        <x:f>IFERROR(_xlfn.XLOOKUP($A63,Database!$A$2:$A$100,Database!G$2:G$100)*$B63,0)</x:f>
        <x:v>0</x:v>
      </x:c>
      <x:c r="I63" s="71" t="n">
        <x:f>IFERROR(_xlfn.XLOOKUP($A63,Database!$A$2:$A$100,Database!H$2:H$100)*$B63,0)</x:f>
        <x:v>0</x:v>
      </x:c>
      <x:c r="J63" s="71" t="n">
        <x:f>IFERROR(_xlfn.XLOOKUP($A63,Database!$A$2:$A$100,Database!I$2:I$100)*$B63,0)</x:f>
        <x:v>0</x:v>
      </x:c>
    </x:row>
    <x:row r="64">
      <x:c r="A64" s="63"/>
      <x:c r="B64" s="66"/>
      <x:c r="C64" s="71" t="n">
        <x:f>IFERROR(_xlfn.XLOOKUP($A64,Database!$A$2:$A$100,Database!B$2:B$100)*$B64,0)</x:f>
        <x:v>0</x:v>
      </x:c>
      <x:c r="D64" s="71" t="n">
        <x:f>IFERROR(_xlfn.XLOOKUP($A64,Database!$A$2:$A$100,Database!C$2:C$100)*$B64,0)</x:f>
        <x:v>0</x:v>
      </x:c>
      <x:c r="E64" s="71" t="n">
        <x:f>IFERROR(_xlfn.XLOOKUP($A64,Database!$A$2:$A$100,Database!D$2:D$100)*$B64,0)</x:f>
        <x:v>0</x:v>
      </x:c>
      <x:c r="F64" s="71" t="n">
        <x:f>IFERROR(_xlfn.XLOOKUP($A64,Database!$A$2:$A$100,Database!E$2:E$100)*$B64,0)</x:f>
        <x:v>0</x:v>
      </x:c>
      <x:c r="G64" s="71" t="n">
        <x:f>IFERROR(_xlfn.XLOOKUP($A64,Database!$A$2:$A$100,Database!F$2:F$100)*$B64,0)</x:f>
        <x:v>0</x:v>
      </x:c>
      <x:c r="H64" s="71" t="n">
        <x:f>IFERROR(_xlfn.XLOOKUP($A64,Database!$A$2:$A$100,Database!G$2:G$100)*$B64,0)</x:f>
        <x:v>0</x:v>
      </x:c>
      <x:c r="I64" s="71" t="n">
        <x:f>IFERROR(_xlfn.XLOOKUP($A64,Database!$A$2:$A$100,Database!H$2:H$100)*$B64,0)</x:f>
        <x:v>0</x:v>
      </x:c>
      <x:c r="J64" s="71" t="n">
        <x:f>IFERROR(_xlfn.XLOOKUP($A64,Database!$A$2:$A$100,Database!I$2:I$100)*$B64,0)</x:f>
        <x:v>0</x:v>
      </x:c>
    </x:row>
    <x:row r="65">
      <x:c r="A65" s="63"/>
      <x:c r="B65" s="66"/>
      <x:c r="C65" s="71" t="n">
        <x:f>IFERROR(_xlfn.XLOOKUP($A65,Database!$A$2:$A$100,Database!B$2:B$100)*$B65,0)</x:f>
        <x:v>0</x:v>
      </x:c>
      <x:c r="D65" s="71" t="n">
        <x:f>IFERROR(_xlfn.XLOOKUP($A65,Database!$A$2:$A$100,Database!C$2:C$100)*$B65,0)</x:f>
        <x:v>0</x:v>
      </x:c>
      <x:c r="E65" s="71" t="n">
        <x:f>IFERROR(_xlfn.XLOOKUP($A65,Database!$A$2:$A$100,Database!D$2:D$100)*$B65,0)</x:f>
        <x:v>0</x:v>
      </x:c>
      <x:c r="F65" s="71" t="n">
        <x:f>IFERROR(_xlfn.XLOOKUP($A65,Database!$A$2:$A$100,Database!E$2:E$100)*$B65,0)</x:f>
        <x:v>0</x:v>
      </x:c>
      <x:c r="G65" s="71" t="n">
        <x:f>IFERROR(_xlfn.XLOOKUP($A65,Database!$A$2:$A$100,Database!F$2:F$100)*$B65,0)</x:f>
        <x:v>0</x:v>
      </x:c>
      <x:c r="H65" s="71" t="n">
        <x:f>IFERROR(_xlfn.XLOOKUP($A65,Database!$A$2:$A$100,Database!G$2:G$100)*$B65,0)</x:f>
        <x:v>0</x:v>
      </x:c>
      <x:c r="I65" s="71" t="n">
        <x:f>IFERROR(_xlfn.XLOOKUP($A65,Database!$A$2:$A$100,Database!H$2:H$100)*$B65,0)</x:f>
        <x:v>0</x:v>
      </x:c>
      <x:c r="J65" s="71" t="n">
        <x:f>IFERROR(_xlfn.XLOOKUP($A65,Database!$A$2:$A$100,Database!I$2:I$100)*$B65,0)</x:f>
        <x:v>0</x:v>
      </x:c>
    </x:row>
    <x:row r="66">
      <x:c r="A66" s="63"/>
      <x:c r="B66" s="66"/>
      <x:c r="C66" s="71" t="n">
        <x:f>IFERROR(_xlfn.XLOOKUP($A66,Database!$A$2:$A$100,Database!B$2:B$100)*$B66,0)</x:f>
        <x:v>0</x:v>
      </x:c>
      <x:c r="D66" s="71" t="n">
        <x:f>IFERROR(_xlfn.XLOOKUP($A66,Database!$A$2:$A$100,Database!C$2:C$100)*$B66,0)</x:f>
        <x:v>0</x:v>
      </x:c>
      <x:c r="E66" s="71" t="n">
        <x:f>IFERROR(_xlfn.XLOOKUP($A66,Database!$A$2:$A$100,Database!D$2:D$100)*$B66,0)</x:f>
        <x:v>0</x:v>
      </x:c>
      <x:c r="F66" s="71" t="n">
        <x:f>IFERROR(_xlfn.XLOOKUP($A66,Database!$A$2:$A$100,Database!E$2:E$100)*$B66,0)</x:f>
        <x:v>0</x:v>
      </x:c>
      <x:c r="G66" s="71" t="n">
        <x:f>IFERROR(_xlfn.XLOOKUP($A66,Database!$A$2:$A$100,Database!F$2:F$100)*$B66,0)</x:f>
        <x:v>0</x:v>
      </x:c>
      <x:c r="H66" s="71" t="n">
        <x:f>IFERROR(_xlfn.XLOOKUP($A66,Database!$A$2:$A$100,Database!G$2:G$100)*$B66,0)</x:f>
        <x:v>0</x:v>
      </x:c>
      <x:c r="I66" s="71" t="n">
        <x:f>IFERROR(_xlfn.XLOOKUP($A66,Database!$A$2:$A$100,Database!H$2:H$100)*$B66,0)</x:f>
        <x:v>0</x:v>
      </x:c>
      <x:c r="J66" s="71" t="n">
        <x:f>IFERROR(_xlfn.XLOOKUP($A66,Database!$A$2:$A$100,Database!I$2:I$100)*$B66,0)</x:f>
        <x:v>0</x:v>
      </x:c>
    </x:row>
    <x:row r="67">
      <x:c r="A67" s="63"/>
      <x:c r="B67" s="66"/>
      <x:c r="C67" s="71" t="n">
        <x:f>IFERROR(_xlfn.XLOOKUP($A67,Database!$A$2:$A$100,Database!B$2:B$100)*$B67,0)</x:f>
        <x:v>0</x:v>
      </x:c>
      <x:c r="D67" s="71" t="n">
        <x:f>IFERROR(_xlfn.XLOOKUP($A67,Database!$A$2:$A$100,Database!C$2:C$100)*$B67,0)</x:f>
        <x:v>0</x:v>
      </x:c>
      <x:c r="E67" s="71" t="n">
        <x:f>IFERROR(_xlfn.XLOOKUP($A67,Database!$A$2:$A$100,Database!D$2:D$100)*$B67,0)</x:f>
        <x:v>0</x:v>
      </x:c>
      <x:c r="F67" s="71" t="n">
        <x:f>IFERROR(_xlfn.XLOOKUP($A67,Database!$A$2:$A$100,Database!E$2:E$100)*$B67,0)</x:f>
        <x:v>0</x:v>
      </x:c>
      <x:c r="G67" s="71" t="n">
        <x:f>IFERROR(_xlfn.XLOOKUP($A67,Database!$A$2:$A$100,Database!F$2:F$100)*$B67,0)</x:f>
        <x:v>0</x:v>
      </x:c>
      <x:c r="H67" s="71" t="n">
        <x:f>IFERROR(_xlfn.XLOOKUP($A67,Database!$A$2:$A$100,Database!G$2:G$100)*$B67,0)</x:f>
        <x:v>0</x:v>
      </x:c>
      <x:c r="I67" s="71" t="n">
        <x:f>IFERROR(_xlfn.XLOOKUP($A67,Database!$A$2:$A$100,Database!H$2:H$100)*$B67,0)</x:f>
        <x:v>0</x:v>
      </x:c>
      <x:c r="J67" s="71" t="n">
        <x:f>IFERROR(_xlfn.XLOOKUP($A67,Database!$A$2:$A$100,Database!I$2:I$100)*$B67,0)</x:f>
        <x:v>0</x:v>
      </x:c>
    </x:row>
    <x:row r="68">
      <x:c r="A68" s="63"/>
      <x:c r="B68" s="66"/>
      <x:c r="C68" s="71" t="n">
        <x:f>IFERROR(_xlfn.XLOOKUP($A68,Database!$A$2:$A$100,Database!B$2:B$100)*$B68,0)</x:f>
        <x:v>0</x:v>
      </x:c>
      <x:c r="D68" s="71" t="n">
        <x:f>IFERROR(_xlfn.XLOOKUP($A68,Database!$A$2:$A$100,Database!C$2:C$100)*$B68,0)</x:f>
        <x:v>0</x:v>
      </x:c>
      <x:c r="E68" s="71" t="n">
        <x:f>IFERROR(_xlfn.XLOOKUP($A68,Database!$A$2:$A$100,Database!D$2:D$100)*$B68,0)</x:f>
        <x:v>0</x:v>
      </x:c>
      <x:c r="F68" s="71" t="n">
        <x:f>IFERROR(_xlfn.XLOOKUP($A68,Database!$A$2:$A$100,Database!E$2:E$100)*$B68,0)</x:f>
        <x:v>0</x:v>
      </x:c>
      <x:c r="G68" s="71" t="n">
        <x:f>IFERROR(_xlfn.XLOOKUP($A68,Database!$A$2:$A$100,Database!F$2:F$100)*$B68,0)</x:f>
        <x:v>0</x:v>
      </x:c>
      <x:c r="H68" s="71" t="n">
        <x:f>IFERROR(_xlfn.XLOOKUP($A68,Database!$A$2:$A$100,Database!G$2:G$100)*$B68,0)</x:f>
        <x:v>0</x:v>
      </x:c>
      <x:c r="I68" s="71" t="n">
        <x:f>IFERROR(_xlfn.XLOOKUP($A68,Database!$A$2:$A$100,Database!H$2:H$100)*$B68,0)</x:f>
        <x:v>0</x:v>
      </x:c>
      <x:c r="J68" s="71" t="n">
        <x:f>IFERROR(_xlfn.XLOOKUP($A68,Database!$A$2:$A$100,Database!I$2:I$100)*$B68,0)</x:f>
        <x:v>0</x:v>
      </x:c>
    </x:row>
    <x:row r="69">
      <x:c r="A69" s="63"/>
      <x:c r="B69" s="66"/>
      <x:c r="C69" s="71" t="n">
        <x:f>IFERROR(_xlfn.XLOOKUP($A69,Database!$A$2:$A$100,Database!B$2:B$100)*$B69,0)</x:f>
        <x:v>0</x:v>
      </x:c>
      <x:c r="D69" s="71" t="n">
        <x:f>IFERROR(_xlfn.XLOOKUP($A69,Database!$A$2:$A$100,Database!C$2:C$100)*$B69,0)</x:f>
        <x:v>0</x:v>
      </x:c>
      <x:c r="E69" s="71" t="n">
        <x:f>IFERROR(_xlfn.XLOOKUP($A69,Database!$A$2:$A$100,Database!D$2:D$100)*$B69,0)</x:f>
        <x:v>0</x:v>
      </x:c>
      <x:c r="F69" s="71" t="n">
        <x:f>IFERROR(_xlfn.XLOOKUP($A69,Database!$A$2:$A$100,Database!E$2:E$100)*$B69,0)</x:f>
        <x:v>0</x:v>
      </x:c>
      <x:c r="G69" s="71" t="n">
        <x:f>IFERROR(_xlfn.XLOOKUP($A69,Database!$A$2:$A$100,Database!F$2:F$100)*$B69,0)</x:f>
        <x:v>0</x:v>
      </x:c>
      <x:c r="H69" s="71" t="n">
        <x:f>IFERROR(_xlfn.XLOOKUP($A69,Database!$A$2:$A$100,Database!G$2:G$100)*$B69,0)</x:f>
        <x:v>0</x:v>
      </x:c>
      <x:c r="I69" s="71" t="n">
        <x:f>IFERROR(_xlfn.XLOOKUP($A69,Database!$A$2:$A$100,Database!H$2:H$100)*$B69,0)</x:f>
        <x:v>0</x:v>
      </x:c>
      <x:c r="J69" s="71" t="n">
        <x:f>IFERROR(_xlfn.XLOOKUP($A69,Database!$A$2:$A$100,Database!I$2:I$100)*$B69,0)</x:f>
        <x:v>0</x:v>
      </x:c>
    </x:row>
    <x:row r="70">
      <x:c r="A70" s="63"/>
      <x:c r="B70" s="66"/>
      <x:c r="C70" s="71" t="n">
        <x:f>IFERROR(_xlfn.XLOOKUP($A70,Database!$A$2:$A$100,Database!B$2:B$100)*$B70,0)</x:f>
        <x:v>0</x:v>
      </x:c>
      <x:c r="D70" s="71" t="n">
        <x:f>IFERROR(_xlfn.XLOOKUP($A70,Database!$A$2:$A$100,Database!C$2:C$100)*$B70,0)</x:f>
        <x:v>0</x:v>
      </x:c>
      <x:c r="E70" s="71" t="n">
        <x:f>IFERROR(_xlfn.XLOOKUP($A70,Database!$A$2:$A$100,Database!D$2:D$100)*$B70,0)</x:f>
        <x:v>0</x:v>
      </x:c>
      <x:c r="F70" s="71" t="n">
        <x:f>IFERROR(_xlfn.XLOOKUP($A70,Database!$A$2:$A$100,Database!E$2:E$100)*$B70,0)</x:f>
        <x:v>0</x:v>
      </x:c>
      <x:c r="G70" s="71" t="n">
        <x:f>IFERROR(_xlfn.XLOOKUP($A70,Database!$A$2:$A$100,Database!F$2:F$100)*$B70,0)</x:f>
        <x:v>0</x:v>
      </x:c>
      <x:c r="H70" s="71" t="n">
        <x:f>IFERROR(_xlfn.XLOOKUP($A70,Database!$A$2:$A$100,Database!G$2:G$100)*$B70,0)</x:f>
        <x:v>0</x:v>
      </x:c>
      <x:c r="I70" s="71" t="n">
        <x:f>IFERROR(_xlfn.XLOOKUP($A70,Database!$A$2:$A$100,Database!H$2:H$100)*$B70,0)</x:f>
        <x:v>0</x:v>
      </x:c>
      <x:c r="J70" s="71" t="n">
        <x:f>IFERROR(_xlfn.XLOOKUP($A70,Database!$A$2:$A$100,Database!I$2:I$100)*$B70,0)</x:f>
        <x:v>0</x:v>
      </x:c>
    </x:row>
    <x:row r="71">
      <x:c r="A71" s="63"/>
      <x:c r="B71" s="66"/>
      <x:c r="C71" s="71" t="n">
        <x:f>IFERROR(_xlfn.XLOOKUP($A71,Database!$A$2:$A$100,Database!B$2:B$100)*$B71,0)</x:f>
        <x:v>0</x:v>
      </x:c>
      <x:c r="D71" s="71" t="n">
        <x:f>IFERROR(_xlfn.XLOOKUP($A71,Database!$A$2:$A$100,Database!C$2:C$100)*$B71,0)</x:f>
        <x:v>0</x:v>
      </x:c>
      <x:c r="E71" s="71" t="n">
        <x:f>IFERROR(_xlfn.XLOOKUP($A71,Database!$A$2:$A$100,Database!D$2:D$100)*$B71,0)</x:f>
        <x:v>0</x:v>
      </x:c>
      <x:c r="F71" s="71" t="n">
        <x:f>IFERROR(_xlfn.XLOOKUP($A71,Database!$A$2:$A$100,Database!E$2:E$100)*$B71,0)</x:f>
        <x:v>0</x:v>
      </x:c>
      <x:c r="G71" s="71" t="n">
        <x:f>IFERROR(_xlfn.XLOOKUP($A71,Database!$A$2:$A$100,Database!F$2:F$100)*$B71,0)</x:f>
        <x:v>0</x:v>
      </x:c>
      <x:c r="H71" s="71" t="n">
        <x:f>IFERROR(_xlfn.XLOOKUP($A71,Database!$A$2:$A$100,Database!G$2:G$100)*$B71,0)</x:f>
        <x:v>0</x:v>
      </x:c>
      <x:c r="I71" s="71" t="n">
        <x:f>IFERROR(_xlfn.XLOOKUP($A71,Database!$A$2:$A$100,Database!H$2:H$100)*$B71,0)</x:f>
        <x:v>0</x:v>
      </x:c>
      <x:c r="J71" s="71" t="n">
        <x:f>IFERROR(_xlfn.XLOOKUP($A71,Database!$A$2:$A$100,Database!I$2:I$100)*$B71,0)</x:f>
        <x:v>0</x:v>
      </x:c>
    </x:row>
    <x:row r="72">
      <x:c r="A72" s="63"/>
      <x:c r="B72" s="66"/>
      <x:c r="C72" s="71" t="n">
        <x:f>IFERROR(_xlfn.XLOOKUP($A72,Database!$A$2:$A$100,Database!B$2:B$100)*$B72,0)</x:f>
        <x:v>0</x:v>
      </x:c>
      <x:c r="D72" s="71" t="n">
        <x:f>IFERROR(_xlfn.XLOOKUP($A72,Database!$A$2:$A$100,Database!C$2:C$100)*$B72,0)</x:f>
        <x:v>0</x:v>
      </x:c>
      <x:c r="E72" s="71" t="n">
        <x:f>IFERROR(_xlfn.XLOOKUP($A72,Database!$A$2:$A$100,Database!D$2:D$100)*$B72,0)</x:f>
        <x:v>0</x:v>
      </x:c>
      <x:c r="F72" s="71" t="n">
        <x:f>IFERROR(_xlfn.XLOOKUP($A72,Database!$A$2:$A$100,Database!E$2:E$100)*$B72,0)</x:f>
        <x:v>0</x:v>
      </x:c>
      <x:c r="G72" s="71" t="n">
        <x:f>IFERROR(_xlfn.XLOOKUP($A72,Database!$A$2:$A$100,Database!F$2:F$100)*$B72,0)</x:f>
        <x:v>0</x:v>
      </x:c>
      <x:c r="H72" s="71" t="n">
        <x:f>IFERROR(_xlfn.XLOOKUP($A72,Database!$A$2:$A$100,Database!G$2:G$100)*$B72,0)</x:f>
        <x:v>0</x:v>
      </x:c>
      <x:c r="I72" s="71" t="n">
        <x:f>IFERROR(_xlfn.XLOOKUP($A72,Database!$A$2:$A$100,Database!H$2:H$100)*$B72,0)</x:f>
        <x:v>0</x:v>
      </x:c>
      <x:c r="J72" s="71" t="n">
        <x:f>IFERROR(_xlfn.XLOOKUP($A72,Database!$A$2:$A$100,Database!I$2:I$100)*$B72,0)</x:f>
        <x:v>0</x:v>
      </x:c>
    </x:row>
    <x:row r="73">
      <x:c r="A73" s="63"/>
      <x:c r="B73" s="66"/>
      <x:c r="C73" s="71" t="n">
        <x:f>IFERROR(_xlfn.XLOOKUP($A73,Database!$A$2:$A$100,Database!B$2:B$100)*$B73,0)</x:f>
        <x:v>0</x:v>
      </x:c>
      <x:c r="D73" s="71" t="n">
        <x:f>IFERROR(_xlfn.XLOOKUP($A73,Database!$A$2:$A$100,Database!C$2:C$100)*$B73,0)</x:f>
        <x:v>0</x:v>
      </x:c>
      <x:c r="E73" s="71" t="n">
        <x:f>IFERROR(_xlfn.XLOOKUP($A73,Database!$A$2:$A$100,Database!D$2:D$100)*$B73,0)</x:f>
        <x:v>0</x:v>
      </x:c>
      <x:c r="F73" s="71" t="n">
        <x:f>IFERROR(_xlfn.XLOOKUP($A73,Database!$A$2:$A$100,Database!E$2:E$100)*$B73,0)</x:f>
        <x:v>0</x:v>
      </x:c>
      <x:c r="G73" s="71" t="n">
        <x:f>IFERROR(_xlfn.XLOOKUP($A73,Database!$A$2:$A$100,Database!F$2:F$100)*$B73,0)</x:f>
        <x:v>0</x:v>
      </x:c>
      <x:c r="H73" s="71" t="n">
        <x:f>IFERROR(_xlfn.XLOOKUP($A73,Database!$A$2:$A$100,Database!G$2:G$100)*$B73,0)</x:f>
        <x:v>0</x:v>
      </x:c>
      <x:c r="I73" s="71" t="n">
        <x:f>IFERROR(_xlfn.XLOOKUP($A73,Database!$A$2:$A$100,Database!H$2:H$100)*$B73,0)</x:f>
        <x:v>0</x:v>
      </x:c>
      <x:c r="J73" s="71" t="n">
        <x:f>IFERROR(_xlfn.XLOOKUP($A73,Database!$A$2:$A$100,Database!I$2:I$100)*$B73,0)</x:f>
        <x:v>0</x:v>
      </x:c>
    </x:row>
    <x:row r="74">
      <x:c r="A74" s="63"/>
      <x:c r="B74" s="66"/>
      <x:c r="C74" s="71" t="n">
        <x:f>IFERROR(_xlfn.XLOOKUP($A74,Database!$A$2:$A$100,Database!B$2:B$100)*$B74,0)</x:f>
        <x:v>0</x:v>
      </x:c>
      <x:c r="D74" s="71" t="n">
        <x:f>IFERROR(_xlfn.XLOOKUP($A74,Database!$A$2:$A$100,Database!C$2:C$100)*$B74,0)</x:f>
        <x:v>0</x:v>
      </x:c>
      <x:c r="E74" s="71" t="n">
        <x:f>IFERROR(_xlfn.XLOOKUP($A74,Database!$A$2:$A$100,Database!D$2:D$100)*$B74,0)</x:f>
        <x:v>0</x:v>
      </x:c>
      <x:c r="F74" s="71" t="n">
        <x:f>IFERROR(_xlfn.XLOOKUP($A74,Database!$A$2:$A$100,Database!E$2:E$100)*$B74,0)</x:f>
        <x:v>0</x:v>
      </x:c>
      <x:c r="G74" s="71" t="n">
        <x:f>IFERROR(_xlfn.XLOOKUP($A74,Database!$A$2:$A$100,Database!F$2:F$100)*$B74,0)</x:f>
        <x:v>0</x:v>
      </x:c>
      <x:c r="H74" s="71" t="n">
        <x:f>IFERROR(_xlfn.XLOOKUP($A74,Database!$A$2:$A$100,Database!G$2:G$100)*$B74,0)</x:f>
        <x:v>0</x:v>
      </x:c>
      <x:c r="I74" s="71" t="n">
        <x:f>IFERROR(_xlfn.XLOOKUP($A74,Database!$A$2:$A$100,Database!H$2:H$100)*$B74,0)</x:f>
        <x:v>0</x:v>
      </x:c>
      <x:c r="J74" s="71" t="n">
        <x:f>IFERROR(_xlfn.XLOOKUP($A74,Database!$A$2:$A$100,Database!I$2:I$100)*$B74,0)</x:f>
        <x:v>0</x:v>
      </x:c>
    </x:row>
    <x:row r="75">
      <x:c r="A75" s="63"/>
      <x:c r="B75" s="66"/>
      <x:c r="C75" s="71" t="n">
        <x:f>IFERROR(_xlfn.XLOOKUP($A75,Database!$A$2:$A$100,Database!B$2:B$100)*$B75,0)</x:f>
        <x:v>0</x:v>
      </x:c>
      <x:c r="D75" s="71" t="n">
        <x:f>IFERROR(_xlfn.XLOOKUP($A75,Database!$A$2:$A$100,Database!C$2:C$100)*$B75,0)</x:f>
        <x:v>0</x:v>
      </x:c>
      <x:c r="E75" s="71" t="n">
        <x:f>IFERROR(_xlfn.XLOOKUP($A75,Database!$A$2:$A$100,Database!D$2:D$100)*$B75,0)</x:f>
        <x:v>0</x:v>
      </x:c>
      <x:c r="F75" s="71" t="n">
        <x:f>IFERROR(_xlfn.XLOOKUP($A75,Database!$A$2:$A$100,Database!E$2:E$100)*$B75,0)</x:f>
        <x:v>0</x:v>
      </x:c>
      <x:c r="G75" s="71" t="n">
        <x:f>IFERROR(_xlfn.XLOOKUP($A75,Database!$A$2:$A$100,Database!F$2:F$100)*$B75,0)</x:f>
        <x:v>0</x:v>
      </x:c>
      <x:c r="H75" s="71" t="n">
        <x:f>IFERROR(_xlfn.XLOOKUP($A75,Database!$A$2:$A$100,Database!G$2:G$100)*$B75,0)</x:f>
        <x:v>0</x:v>
      </x:c>
      <x:c r="I75" s="71" t="n">
        <x:f>IFERROR(_xlfn.XLOOKUP($A75,Database!$A$2:$A$100,Database!H$2:H$100)*$B75,0)</x:f>
        <x:v>0</x:v>
      </x:c>
      <x:c r="J75" s="71" t="n">
        <x:f>IFERROR(_xlfn.XLOOKUP($A75,Database!$A$2:$A$100,Database!I$2:I$100)*$B75,0)</x:f>
        <x:v>0</x:v>
      </x:c>
    </x:row>
    <x:row r="76">
      <x:c r="A76" s="63"/>
      <x:c r="B76" s="66"/>
      <x:c r="C76" s="71" t="n">
        <x:f>IFERROR(_xlfn.XLOOKUP($A76,Database!$A$2:$A$100,Database!B$2:B$100)*$B76,0)</x:f>
        <x:v>0</x:v>
      </x:c>
      <x:c r="D76" s="71" t="n">
        <x:f>IFERROR(_xlfn.XLOOKUP($A76,Database!$A$2:$A$100,Database!C$2:C$100)*$B76,0)</x:f>
        <x:v>0</x:v>
      </x:c>
      <x:c r="E76" s="71" t="n">
        <x:f>IFERROR(_xlfn.XLOOKUP($A76,Database!$A$2:$A$100,Database!D$2:D$100)*$B76,0)</x:f>
        <x:v>0</x:v>
      </x:c>
      <x:c r="F76" s="71" t="n">
        <x:f>IFERROR(_xlfn.XLOOKUP($A76,Database!$A$2:$A$100,Database!E$2:E$100)*$B76,0)</x:f>
        <x:v>0</x:v>
      </x:c>
      <x:c r="G76" s="71" t="n">
        <x:f>IFERROR(_xlfn.XLOOKUP($A76,Database!$A$2:$A$100,Database!F$2:F$100)*$B76,0)</x:f>
        <x:v>0</x:v>
      </x:c>
      <x:c r="H76" s="71" t="n">
        <x:f>IFERROR(_xlfn.XLOOKUP($A76,Database!$A$2:$A$100,Database!G$2:G$100)*$B76,0)</x:f>
        <x:v>0</x:v>
      </x:c>
      <x:c r="I76" s="71" t="n">
        <x:f>IFERROR(_xlfn.XLOOKUP($A76,Database!$A$2:$A$100,Database!H$2:H$100)*$B76,0)</x:f>
        <x:v>0</x:v>
      </x:c>
      <x:c r="J76" s="71" t="n">
        <x:f>IFERROR(_xlfn.XLOOKUP($A76,Database!$A$2:$A$100,Database!I$2:I$100)*$B76,0)</x:f>
        <x:v>0</x:v>
      </x:c>
    </x:row>
    <x:row r="77">
      <x:c r="A77" s="63"/>
      <x:c r="B77" s="66"/>
      <x:c r="C77" s="71" t="n">
        <x:f>IFERROR(_xlfn.XLOOKUP($A77,Database!$A$2:$A$100,Database!B$2:B$100)*$B77,0)</x:f>
        <x:v>0</x:v>
      </x:c>
      <x:c r="D77" s="71" t="n">
        <x:f>IFERROR(_xlfn.XLOOKUP($A77,Database!$A$2:$A$100,Database!C$2:C$100)*$B77,0)</x:f>
        <x:v>0</x:v>
      </x:c>
      <x:c r="E77" s="71" t="n">
        <x:f>IFERROR(_xlfn.XLOOKUP($A77,Database!$A$2:$A$100,Database!D$2:D$100)*$B77,0)</x:f>
        <x:v>0</x:v>
      </x:c>
      <x:c r="F77" s="71" t="n">
        <x:f>IFERROR(_xlfn.XLOOKUP($A77,Database!$A$2:$A$100,Database!E$2:E$100)*$B77,0)</x:f>
        <x:v>0</x:v>
      </x:c>
      <x:c r="G77" s="71" t="n">
        <x:f>IFERROR(_xlfn.XLOOKUP($A77,Database!$A$2:$A$100,Database!F$2:F$100)*$B77,0)</x:f>
        <x:v>0</x:v>
      </x:c>
      <x:c r="H77" s="71" t="n">
        <x:f>IFERROR(_xlfn.XLOOKUP($A77,Database!$A$2:$A$100,Database!G$2:G$100)*$B77,0)</x:f>
        <x:v>0</x:v>
      </x:c>
      <x:c r="I77" s="71" t="n">
        <x:f>IFERROR(_xlfn.XLOOKUP($A77,Database!$A$2:$A$100,Database!H$2:H$100)*$B77,0)</x:f>
        <x:v>0</x:v>
      </x:c>
      <x:c r="J77" s="71" t="n">
        <x:f>IFERROR(_xlfn.XLOOKUP($A77,Database!$A$2:$A$100,Database!I$2:I$100)*$B77,0)</x:f>
        <x:v>0</x:v>
      </x:c>
    </x:row>
    <x:row r="78">
      <x:c r="A78" s="63"/>
      <x:c r="B78" s="66"/>
      <x:c r="C78" s="71" t="n">
        <x:f>IFERROR(_xlfn.XLOOKUP($A78,Database!$A$2:$A$100,Database!B$2:B$100)*$B78,0)</x:f>
        <x:v>0</x:v>
      </x:c>
      <x:c r="D78" s="71" t="n">
        <x:f>IFERROR(_xlfn.XLOOKUP($A78,Database!$A$2:$A$100,Database!C$2:C$100)*$B78,0)</x:f>
        <x:v>0</x:v>
      </x:c>
      <x:c r="E78" s="71" t="n">
        <x:f>IFERROR(_xlfn.XLOOKUP($A78,Database!$A$2:$A$100,Database!D$2:D$100)*$B78,0)</x:f>
        <x:v>0</x:v>
      </x:c>
      <x:c r="F78" s="71" t="n">
        <x:f>IFERROR(_xlfn.XLOOKUP($A78,Database!$A$2:$A$100,Database!E$2:E$100)*$B78,0)</x:f>
        <x:v>0</x:v>
      </x:c>
      <x:c r="G78" s="71" t="n">
        <x:f>IFERROR(_xlfn.XLOOKUP($A78,Database!$A$2:$A$100,Database!F$2:F$100)*$B78,0)</x:f>
        <x:v>0</x:v>
      </x:c>
      <x:c r="H78" s="71" t="n">
        <x:f>IFERROR(_xlfn.XLOOKUP($A78,Database!$A$2:$A$100,Database!G$2:G$100)*$B78,0)</x:f>
        <x:v>0</x:v>
      </x:c>
      <x:c r="I78" s="71" t="n">
        <x:f>IFERROR(_xlfn.XLOOKUP($A78,Database!$A$2:$A$100,Database!H$2:H$100)*$B78,0)</x:f>
        <x:v>0</x:v>
      </x:c>
      <x:c r="J78" s="71" t="n">
        <x:f>IFERROR(_xlfn.XLOOKUP($A78,Database!$A$2:$A$100,Database!I$2:I$100)*$B78,0)</x:f>
        <x:v>0</x:v>
      </x:c>
    </x:row>
    <x:row r="79">
      <x:c r="A79" s="63"/>
      <x:c r="B79" s="66"/>
      <x:c r="C79" s="71" t="n">
        <x:f>IFERROR(_xlfn.XLOOKUP($A79,Database!$A$2:$A$100,Database!B$2:B$100)*$B79,0)</x:f>
        <x:v>0</x:v>
      </x:c>
      <x:c r="D79" s="71" t="n">
        <x:f>IFERROR(_xlfn.XLOOKUP($A79,Database!$A$2:$A$100,Database!C$2:C$100)*$B79,0)</x:f>
        <x:v>0</x:v>
      </x:c>
      <x:c r="E79" s="71" t="n">
        <x:f>IFERROR(_xlfn.XLOOKUP($A79,Database!$A$2:$A$100,Database!D$2:D$100)*$B79,0)</x:f>
        <x:v>0</x:v>
      </x:c>
      <x:c r="F79" s="71" t="n">
        <x:f>IFERROR(_xlfn.XLOOKUP($A79,Database!$A$2:$A$100,Database!E$2:E$100)*$B79,0)</x:f>
        <x:v>0</x:v>
      </x:c>
      <x:c r="G79" s="71" t="n">
        <x:f>IFERROR(_xlfn.XLOOKUP($A79,Database!$A$2:$A$100,Database!F$2:F$100)*$B79,0)</x:f>
        <x:v>0</x:v>
      </x:c>
      <x:c r="H79" s="71" t="n">
        <x:f>IFERROR(_xlfn.XLOOKUP($A79,Database!$A$2:$A$100,Database!G$2:G$100)*$B79,0)</x:f>
        <x:v>0</x:v>
      </x:c>
      <x:c r="I79" s="71" t="n">
        <x:f>IFERROR(_xlfn.XLOOKUP($A79,Database!$A$2:$A$100,Database!H$2:H$100)*$B79,0)</x:f>
        <x:v>0</x:v>
      </x:c>
      <x:c r="J79" s="71" t="n">
        <x:f>IFERROR(_xlfn.XLOOKUP($A79,Database!$A$2:$A$100,Database!I$2:I$100)*$B79,0)</x:f>
        <x:v>0</x:v>
      </x:c>
    </x:row>
    <x:row r="80">
      <x:c r="A80" s="63"/>
      <x:c r="B80" s="66"/>
      <x:c r="C80" s="71" t="n">
        <x:f>IFERROR(_xlfn.XLOOKUP($A80,Database!$A$2:$A$100,Database!B$2:B$100)*$B80,0)</x:f>
        <x:v>0</x:v>
      </x:c>
      <x:c r="D80" s="71" t="n">
        <x:f>IFERROR(_xlfn.XLOOKUP($A80,Database!$A$2:$A$100,Database!C$2:C$100)*$B80,0)</x:f>
        <x:v>0</x:v>
      </x:c>
      <x:c r="E80" s="71" t="n">
        <x:f>IFERROR(_xlfn.XLOOKUP($A80,Database!$A$2:$A$100,Database!D$2:D$100)*$B80,0)</x:f>
        <x:v>0</x:v>
      </x:c>
      <x:c r="F80" s="71" t="n">
        <x:f>IFERROR(_xlfn.XLOOKUP($A80,Database!$A$2:$A$100,Database!E$2:E$100)*$B80,0)</x:f>
        <x:v>0</x:v>
      </x:c>
      <x:c r="G80" s="71" t="n">
        <x:f>IFERROR(_xlfn.XLOOKUP($A80,Database!$A$2:$A$100,Database!F$2:F$100)*$B80,0)</x:f>
        <x:v>0</x:v>
      </x:c>
      <x:c r="H80" s="71" t="n">
        <x:f>IFERROR(_xlfn.XLOOKUP($A80,Database!$A$2:$A$100,Database!G$2:G$100)*$B80,0)</x:f>
        <x:v>0</x:v>
      </x:c>
      <x:c r="I80" s="71" t="n">
        <x:f>IFERROR(_xlfn.XLOOKUP($A80,Database!$A$2:$A$100,Database!H$2:H$100)*$B80,0)</x:f>
        <x:v>0</x:v>
      </x:c>
      <x:c r="J80" s="71" t="n">
        <x:f>IFERROR(_xlfn.XLOOKUP($A80,Database!$A$2:$A$100,Database!I$2:I$100)*$B80,0)</x:f>
        <x:v>0</x:v>
      </x:c>
    </x:row>
    <x:row r="81">
      <x:c r="A81" s="63"/>
      <x:c r="B81" s="66"/>
      <x:c r="C81" s="71" t="n">
        <x:f>IFERROR(_xlfn.XLOOKUP($A81,Database!$A$2:$A$100,Database!B$2:B$100)*$B81,0)</x:f>
        <x:v>0</x:v>
      </x:c>
      <x:c r="D81" s="71" t="n">
        <x:f>IFERROR(_xlfn.XLOOKUP($A81,Database!$A$2:$A$100,Database!C$2:C$100)*$B81,0)</x:f>
        <x:v>0</x:v>
      </x:c>
      <x:c r="E81" s="71" t="n">
        <x:f>IFERROR(_xlfn.XLOOKUP($A81,Database!$A$2:$A$100,Database!D$2:D$100)*$B81,0)</x:f>
        <x:v>0</x:v>
      </x:c>
      <x:c r="F81" s="71" t="n">
        <x:f>IFERROR(_xlfn.XLOOKUP($A81,Database!$A$2:$A$100,Database!E$2:E$100)*$B81,0)</x:f>
        <x:v>0</x:v>
      </x:c>
      <x:c r="G81" s="71" t="n">
        <x:f>IFERROR(_xlfn.XLOOKUP($A81,Database!$A$2:$A$100,Database!F$2:F$100)*$B81,0)</x:f>
        <x:v>0</x:v>
      </x:c>
      <x:c r="H81" s="71" t="n">
        <x:f>IFERROR(_xlfn.XLOOKUP($A81,Database!$A$2:$A$100,Database!G$2:G$100)*$B81,0)</x:f>
        <x:v>0</x:v>
      </x:c>
      <x:c r="I81" s="71" t="n">
        <x:f>IFERROR(_xlfn.XLOOKUP($A81,Database!$A$2:$A$100,Database!H$2:H$100)*$B81,0)</x:f>
        <x:v>0</x:v>
      </x:c>
      <x:c r="J81" s="71" t="n">
        <x:f>IFERROR(_xlfn.XLOOKUP($A81,Database!$A$2:$A$100,Database!I$2:I$100)*$B81,0)</x:f>
        <x:v>0</x:v>
      </x:c>
    </x:row>
    <x:row r="82">
      <x:c r="A82" s="63"/>
      <x:c r="B82" s="66"/>
      <x:c r="C82" s="71" t="n">
        <x:f>IFERROR(_xlfn.XLOOKUP($A82,Database!$A$2:$A$100,Database!B$2:B$100)*$B82,0)</x:f>
        <x:v>0</x:v>
      </x:c>
      <x:c r="D82" s="71" t="n">
        <x:f>IFERROR(_xlfn.XLOOKUP($A82,Database!$A$2:$A$100,Database!C$2:C$100)*$B82,0)</x:f>
        <x:v>0</x:v>
      </x:c>
      <x:c r="E82" s="71" t="n">
        <x:f>IFERROR(_xlfn.XLOOKUP($A82,Database!$A$2:$A$100,Database!D$2:D$100)*$B82,0)</x:f>
        <x:v>0</x:v>
      </x:c>
      <x:c r="F82" s="71" t="n">
        <x:f>IFERROR(_xlfn.XLOOKUP($A82,Database!$A$2:$A$100,Database!E$2:E$100)*$B82,0)</x:f>
        <x:v>0</x:v>
      </x:c>
      <x:c r="G82" s="71" t="n">
        <x:f>IFERROR(_xlfn.XLOOKUP($A82,Database!$A$2:$A$100,Database!F$2:F$100)*$B82,0)</x:f>
        <x:v>0</x:v>
      </x:c>
      <x:c r="H82" s="71" t="n">
        <x:f>IFERROR(_xlfn.XLOOKUP($A82,Database!$A$2:$A$100,Database!G$2:G$100)*$B82,0)</x:f>
        <x:v>0</x:v>
      </x:c>
      <x:c r="I82" s="71" t="n">
        <x:f>IFERROR(_xlfn.XLOOKUP($A82,Database!$A$2:$A$100,Database!H$2:H$100)*$B82,0)</x:f>
        <x:v>0</x:v>
      </x:c>
      <x:c r="J82" s="71" t="n">
        <x:f>IFERROR(_xlfn.XLOOKUP($A82,Database!$A$2:$A$100,Database!I$2:I$100)*$B82,0)</x:f>
        <x:v>0</x:v>
      </x:c>
    </x:row>
    <x:row r="83">
      <x:c r="A83" s="63"/>
      <x:c r="B83" s="66"/>
      <x:c r="C83" s="71" t="n">
        <x:f>IFERROR(_xlfn.XLOOKUP($A83,Database!$A$2:$A$100,Database!B$2:B$100)*$B83,0)</x:f>
        <x:v>0</x:v>
      </x:c>
      <x:c r="D83" s="71" t="n">
        <x:f>IFERROR(_xlfn.XLOOKUP($A83,Database!$A$2:$A$100,Database!C$2:C$100)*$B83,0)</x:f>
        <x:v>0</x:v>
      </x:c>
      <x:c r="E83" s="71" t="n">
        <x:f>IFERROR(_xlfn.XLOOKUP($A83,Database!$A$2:$A$100,Database!D$2:D$100)*$B83,0)</x:f>
        <x:v>0</x:v>
      </x:c>
      <x:c r="F83" s="71" t="n">
        <x:f>IFERROR(_xlfn.XLOOKUP($A83,Database!$A$2:$A$100,Database!E$2:E$100)*$B83,0)</x:f>
        <x:v>0</x:v>
      </x:c>
      <x:c r="G83" s="71" t="n">
        <x:f>IFERROR(_xlfn.XLOOKUP($A83,Database!$A$2:$A$100,Database!F$2:F$100)*$B83,0)</x:f>
        <x:v>0</x:v>
      </x:c>
      <x:c r="H83" s="71" t="n">
        <x:f>IFERROR(_xlfn.XLOOKUP($A83,Database!$A$2:$A$100,Database!G$2:G$100)*$B83,0)</x:f>
        <x:v>0</x:v>
      </x:c>
      <x:c r="I83" s="71" t="n">
        <x:f>IFERROR(_xlfn.XLOOKUP($A83,Database!$A$2:$A$100,Database!H$2:H$100)*$B83,0)</x:f>
        <x:v>0</x:v>
      </x:c>
      <x:c r="J83" s="71" t="n">
        <x:f>IFERROR(_xlfn.XLOOKUP($A83,Database!$A$2:$A$100,Database!I$2:I$100)*$B83,0)</x:f>
        <x:v>0</x:v>
      </x:c>
    </x:row>
    <x:row r="84">
      <x:c r="A84" s="63"/>
      <x:c r="B84" s="66"/>
      <x:c r="C84" s="71" t="n">
        <x:f>IFERROR(_xlfn.XLOOKUP($A84,Database!$A$2:$A$100,Database!B$2:B$100)*$B84,0)</x:f>
        <x:v>0</x:v>
      </x:c>
      <x:c r="D84" s="71" t="n">
        <x:f>IFERROR(_xlfn.XLOOKUP($A84,Database!$A$2:$A$100,Database!C$2:C$100)*$B84,0)</x:f>
        <x:v>0</x:v>
      </x:c>
      <x:c r="E84" s="71" t="n">
        <x:f>IFERROR(_xlfn.XLOOKUP($A84,Database!$A$2:$A$100,Database!D$2:D$100)*$B84,0)</x:f>
        <x:v>0</x:v>
      </x:c>
      <x:c r="F84" s="71" t="n">
        <x:f>IFERROR(_xlfn.XLOOKUP($A84,Database!$A$2:$A$100,Database!E$2:E$100)*$B84,0)</x:f>
        <x:v>0</x:v>
      </x:c>
      <x:c r="G84" s="71" t="n">
        <x:f>IFERROR(_xlfn.XLOOKUP($A84,Database!$A$2:$A$100,Database!F$2:F$100)*$B84,0)</x:f>
        <x:v>0</x:v>
      </x:c>
      <x:c r="H84" s="71" t="n">
        <x:f>IFERROR(_xlfn.XLOOKUP($A84,Database!$A$2:$A$100,Database!G$2:G$100)*$B84,0)</x:f>
        <x:v>0</x:v>
      </x:c>
      <x:c r="I84" s="71" t="n">
        <x:f>IFERROR(_xlfn.XLOOKUP($A84,Database!$A$2:$A$100,Database!H$2:H$100)*$B84,0)</x:f>
        <x:v>0</x:v>
      </x:c>
      <x:c r="J84" s="71" t="n">
        <x:f>IFERROR(_xlfn.XLOOKUP($A84,Database!$A$2:$A$100,Database!I$2:I$100)*$B84,0)</x:f>
        <x:v>0</x:v>
      </x:c>
    </x:row>
    <x:row r="85">
      <x:c r="A85" s="63"/>
      <x:c r="B85" s="66"/>
      <x:c r="C85" s="71" t="n">
        <x:f>IFERROR(_xlfn.XLOOKUP($A85,Database!$A$2:$A$100,Database!B$2:B$100)*$B85,0)</x:f>
        <x:v>0</x:v>
      </x:c>
      <x:c r="D85" s="71" t="n">
        <x:f>IFERROR(_xlfn.XLOOKUP($A85,Database!$A$2:$A$100,Database!C$2:C$100)*$B85,0)</x:f>
        <x:v>0</x:v>
      </x:c>
      <x:c r="E85" s="71" t="n">
        <x:f>IFERROR(_xlfn.XLOOKUP($A85,Database!$A$2:$A$100,Database!D$2:D$100)*$B85,0)</x:f>
        <x:v>0</x:v>
      </x:c>
      <x:c r="F85" s="71" t="n">
        <x:f>IFERROR(_xlfn.XLOOKUP($A85,Database!$A$2:$A$100,Database!E$2:E$100)*$B85,0)</x:f>
        <x:v>0</x:v>
      </x:c>
      <x:c r="G85" s="71" t="n">
        <x:f>IFERROR(_xlfn.XLOOKUP($A85,Database!$A$2:$A$100,Database!F$2:F$100)*$B85,0)</x:f>
        <x:v>0</x:v>
      </x:c>
      <x:c r="H85" s="71" t="n">
        <x:f>IFERROR(_xlfn.XLOOKUP($A85,Database!$A$2:$A$100,Database!G$2:G$100)*$B85,0)</x:f>
        <x:v>0</x:v>
      </x:c>
      <x:c r="I85" s="71" t="n">
        <x:f>IFERROR(_xlfn.XLOOKUP($A85,Database!$A$2:$A$100,Database!H$2:H$100)*$B85,0)</x:f>
        <x:v>0</x:v>
      </x:c>
      <x:c r="J85" s="71" t="n">
        <x:f>IFERROR(_xlfn.XLOOKUP($A85,Database!$A$2:$A$100,Database!I$2:I$100)*$B85,0)</x:f>
        <x:v>0</x:v>
      </x:c>
    </x:row>
    <x:row r="86">
      <x:c r="A86" s="63"/>
      <x:c r="B86" s="66"/>
      <x:c r="C86" s="71" t="n">
        <x:f>IFERROR(_xlfn.XLOOKUP($A86,Database!$A$2:$A$100,Database!B$2:B$100)*$B86,0)</x:f>
        <x:v>0</x:v>
      </x:c>
      <x:c r="D86" s="71" t="n">
        <x:f>IFERROR(_xlfn.XLOOKUP($A86,Database!$A$2:$A$100,Database!C$2:C$100)*$B86,0)</x:f>
        <x:v>0</x:v>
      </x:c>
      <x:c r="E86" s="71" t="n">
        <x:f>IFERROR(_xlfn.XLOOKUP($A86,Database!$A$2:$A$100,Database!D$2:D$100)*$B86,0)</x:f>
        <x:v>0</x:v>
      </x:c>
      <x:c r="F86" s="71" t="n">
        <x:f>IFERROR(_xlfn.XLOOKUP($A86,Database!$A$2:$A$100,Database!E$2:E$100)*$B86,0)</x:f>
        <x:v>0</x:v>
      </x:c>
      <x:c r="G86" s="71" t="n">
        <x:f>IFERROR(_xlfn.XLOOKUP($A86,Database!$A$2:$A$100,Database!F$2:F$100)*$B86,0)</x:f>
        <x:v>0</x:v>
      </x:c>
      <x:c r="H86" s="71" t="n">
        <x:f>IFERROR(_xlfn.XLOOKUP($A86,Database!$A$2:$A$100,Database!G$2:G$100)*$B86,0)</x:f>
        <x:v>0</x:v>
      </x:c>
      <x:c r="I86" s="71" t="n">
        <x:f>IFERROR(_xlfn.XLOOKUP($A86,Database!$A$2:$A$100,Database!H$2:H$100)*$B86,0)</x:f>
        <x:v>0</x:v>
      </x:c>
      <x:c r="J86" s="71" t="n">
        <x:f>IFERROR(_xlfn.XLOOKUP($A86,Database!$A$2:$A$100,Database!I$2:I$100)*$B86,0)</x:f>
        <x:v>0</x:v>
      </x:c>
    </x:row>
    <x:row r="87">
      <x:c r="A87" s="63"/>
      <x:c r="B87" s="66"/>
      <x:c r="C87" s="71" t="n">
        <x:f>IFERROR(_xlfn.XLOOKUP($A87,Database!$A$2:$A$100,Database!B$2:B$100)*$B87,0)</x:f>
        <x:v>0</x:v>
      </x:c>
      <x:c r="D87" s="71" t="n">
        <x:f>IFERROR(_xlfn.XLOOKUP($A87,Database!$A$2:$A$100,Database!C$2:C$100)*$B87,0)</x:f>
        <x:v>0</x:v>
      </x:c>
      <x:c r="E87" s="71" t="n">
        <x:f>IFERROR(_xlfn.XLOOKUP($A87,Database!$A$2:$A$100,Database!D$2:D$100)*$B87,0)</x:f>
        <x:v>0</x:v>
      </x:c>
      <x:c r="F87" s="71" t="n">
        <x:f>IFERROR(_xlfn.XLOOKUP($A87,Database!$A$2:$A$100,Database!E$2:E$100)*$B87,0)</x:f>
        <x:v>0</x:v>
      </x:c>
      <x:c r="G87" s="71" t="n">
        <x:f>IFERROR(_xlfn.XLOOKUP($A87,Database!$A$2:$A$100,Database!F$2:F$100)*$B87,0)</x:f>
        <x:v>0</x:v>
      </x:c>
      <x:c r="H87" s="71" t="n">
        <x:f>IFERROR(_xlfn.XLOOKUP($A87,Database!$A$2:$A$100,Database!G$2:G$100)*$B87,0)</x:f>
        <x:v>0</x:v>
      </x:c>
      <x:c r="I87" s="71" t="n">
        <x:f>IFERROR(_xlfn.XLOOKUP($A87,Database!$A$2:$A$100,Database!H$2:H$100)*$B87,0)</x:f>
        <x:v>0</x:v>
      </x:c>
      <x:c r="J87" s="71" t="n">
        <x:f>IFERROR(_xlfn.XLOOKUP($A87,Database!$A$2:$A$100,Database!I$2:I$100)*$B87,0)</x:f>
        <x:v>0</x:v>
      </x:c>
    </x:row>
    <x:row r="88">
      <x:c r="A88" s="63"/>
      <x:c r="B88" s="66"/>
      <x:c r="C88" s="71" t="n">
        <x:f>IFERROR(_xlfn.XLOOKUP($A88,Database!$A$2:$A$100,Database!B$2:B$100)*$B88,0)</x:f>
        <x:v>0</x:v>
      </x:c>
      <x:c r="D88" s="71" t="n">
        <x:f>IFERROR(_xlfn.XLOOKUP($A88,Database!$A$2:$A$100,Database!C$2:C$100)*$B88,0)</x:f>
        <x:v>0</x:v>
      </x:c>
      <x:c r="E88" s="71" t="n">
        <x:f>IFERROR(_xlfn.XLOOKUP($A88,Database!$A$2:$A$100,Database!D$2:D$100)*$B88,0)</x:f>
        <x:v>0</x:v>
      </x:c>
      <x:c r="F88" s="71" t="n">
        <x:f>IFERROR(_xlfn.XLOOKUP($A88,Database!$A$2:$A$100,Database!E$2:E$100)*$B88,0)</x:f>
        <x:v>0</x:v>
      </x:c>
      <x:c r="G88" s="71" t="n">
        <x:f>IFERROR(_xlfn.XLOOKUP($A88,Database!$A$2:$A$100,Database!F$2:F$100)*$B88,0)</x:f>
        <x:v>0</x:v>
      </x:c>
      <x:c r="H88" s="71" t="n">
        <x:f>IFERROR(_xlfn.XLOOKUP($A88,Database!$A$2:$A$100,Database!G$2:G$100)*$B88,0)</x:f>
        <x:v>0</x:v>
      </x:c>
      <x:c r="I88" s="71" t="n">
        <x:f>IFERROR(_xlfn.XLOOKUP($A88,Database!$A$2:$A$100,Database!H$2:H$100)*$B88,0)</x:f>
        <x:v>0</x:v>
      </x:c>
      <x:c r="J88" s="71" t="n">
        <x:f>IFERROR(_xlfn.XLOOKUP($A88,Database!$A$2:$A$100,Database!I$2:I$100)*$B88,0)</x:f>
        <x:v>0</x:v>
      </x:c>
    </x:row>
    <x:row r="89">
      <x:c r="A89" s="63"/>
      <x:c r="B89" s="66"/>
      <x:c r="C89" s="71" t="n">
        <x:f>IFERROR(_xlfn.XLOOKUP($A89,Database!$A$2:$A$100,Database!B$2:B$100)*$B89,0)</x:f>
        <x:v>0</x:v>
      </x:c>
      <x:c r="D89" s="71" t="n">
        <x:f>IFERROR(_xlfn.XLOOKUP($A89,Database!$A$2:$A$100,Database!C$2:C$100)*$B89,0)</x:f>
        <x:v>0</x:v>
      </x:c>
      <x:c r="E89" s="71" t="n">
        <x:f>IFERROR(_xlfn.XLOOKUP($A89,Database!$A$2:$A$100,Database!D$2:D$100)*$B89,0)</x:f>
        <x:v>0</x:v>
      </x:c>
      <x:c r="F89" s="71" t="n">
        <x:f>IFERROR(_xlfn.XLOOKUP($A89,Database!$A$2:$A$100,Database!E$2:E$100)*$B89,0)</x:f>
        <x:v>0</x:v>
      </x:c>
      <x:c r="G89" s="71" t="n">
        <x:f>IFERROR(_xlfn.XLOOKUP($A89,Database!$A$2:$A$100,Database!F$2:F$100)*$B89,0)</x:f>
        <x:v>0</x:v>
      </x:c>
      <x:c r="H89" s="71" t="n">
        <x:f>IFERROR(_xlfn.XLOOKUP($A89,Database!$A$2:$A$100,Database!G$2:G$100)*$B89,0)</x:f>
        <x:v>0</x:v>
      </x:c>
      <x:c r="I89" s="71" t="n">
        <x:f>IFERROR(_xlfn.XLOOKUP($A89,Database!$A$2:$A$100,Database!H$2:H$100)*$B89,0)</x:f>
        <x:v>0</x:v>
      </x:c>
      <x:c r="J89" s="71" t="n">
        <x:f>IFERROR(_xlfn.XLOOKUP($A89,Database!$A$2:$A$100,Database!I$2:I$100)*$B89,0)</x:f>
        <x:v>0</x:v>
      </x:c>
    </x:row>
    <x:row r="90">
      <x:c r="A90" s="63"/>
      <x:c r="B90" s="66"/>
      <x:c r="C90" s="71" t="n">
        <x:f>IFERROR(_xlfn.XLOOKUP($A90,Database!$A$2:$A$100,Database!B$2:B$100)*$B90,0)</x:f>
        <x:v>0</x:v>
      </x:c>
      <x:c r="D90" s="71" t="n">
        <x:f>IFERROR(_xlfn.XLOOKUP($A90,Database!$A$2:$A$100,Database!C$2:C$100)*$B90,0)</x:f>
        <x:v>0</x:v>
      </x:c>
      <x:c r="E90" s="71" t="n">
        <x:f>IFERROR(_xlfn.XLOOKUP($A90,Database!$A$2:$A$100,Database!D$2:D$100)*$B90,0)</x:f>
        <x:v>0</x:v>
      </x:c>
      <x:c r="F90" s="71" t="n">
        <x:f>IFERROR(_xlfn.XLOOKUP($A90,Database!$A$2:$A$100,Database!E$2:E$100)*$B90,0)</x:f>
        <x:v>0</x:v>
      </x:c>
      <x:c r="G90" s="71" t="n">
        <x:f>IFERROR(_xlfn.XLOOKUP($A90,Database!$A$2:$A$100,Database!F$2:F$100)*$B90,0)</x:f>
        <x:v>0</x:v>
      </x:c>
      <x:c r="H90" s="71" t="n">
        <x:f>IFERROR(_xlfn.XLOOKUP($A90,Database!$A$2:$A$100,Database!G$2:G$100)*$B90,0)</x:f>
        <x:v>0</x:v>
      </x:c>
      <x:c r="I90" s="71" t="n">
        <x:f>IFERROR(_xlfn.XLOOKUP($A90,Database!$A$2:$A$100,Database!H$2:H$100)*$B90,0)</x:f>
        <x:v>0</x:v>
      </x:c>
      <x:c r="J90" s="71" t="n">
        <x:f>IFERROR(_xlfn.XLOOKUP($A90,Database!$A$2:$A$100,Database!I$2:I$100)*$B90,0)</x:f>
        <x:v>0</x:v>
      </x:c>
    </x:row>
    <x:row r="91">
      <x:c r="A91" s="63"/>
      <x:c r="B91" s="66"/>
      <x:c r="C91" s="71" t="n">
        <x:f>IFERROR(_xlfn.XLOOKUP($A91,Database!$A$2:$A$100,Database!B$2:B$100)*$B91,0)</x:f>
        <x:v>0</x:v>
      </x:c>
      <x:c r="D91" s="71" t="n">
        <x:f>IFERROR(_xlfn.XLOOKUP($A91,Database!$A$2:$A$100,Database!C$2:C$100)*$B91,0)</x:f>
        <x:v>0</x:v>
      </x:c>
      <x:c r="E91" s="71" t="n">
        <x:f>IFERROR(_xlfn.XLOOKUP($A91,Database!$A$2:$A$100,Database!D$2:D$100)*$B91,0)</x:f>
        <x:v>0</x:v>
      </x:c>
      <x:c r="F91" s="71" t="n">
        <x:f>IFERROR(_xlfn.XLOOKUP($A91,Database!$A$2:$A$100,Database!E$2:E$100)*$B91,0)</x:f>
        <x:v>0</x:v>
      </x:c>
      <x:c r="G91" s="71" t="n">
        <x:f>IFERROR(_xlfn.XLOOKUP($A91,Database!$A$2:$A$100,Database!F$2:F$100)*$B91,0)</x:f>
        <x:v>0</x:v>
      </x:c>
      <x:c r="H91" s="71" t="n">
        <x:f>IFERROR(_xlfn.XLOOKUP($A91,Database!$A$2:$A$100,Database!G$2:G$100)*$B91,0)</x:f>
        <x:v>0</x:v>
      </x:c>
      <x:c r="I91" s="71" t="n">
        <x:f>IFERROR(_xlfn.XLOOKUP($A91,Database!$A$2:$A$100,Database!H$2:H$100)*$B91,0)</x:f>
        <x:v>0</x:v>
      </x:c>
      <x:c r="J91" s="71" t="n">
        <x:f>IFERROR(_xlfn.XLOOKUP($A91,Database!$A$2:$A$100,Database!I$2:I$100)*$B91,0)</x:f>
        <x:v>0</x:v>
      </x:c>
    </x:row>
    <x:row r="92">
      <x:c r="A92" s="63"/>
      <x:c r="B92" s="66"/>
      <x:c r="C92" s="71" t="n">
        <x:f>IFERROR(_xlfn.XLOOKUP($A92,Database!$A$2:$A$100,Database!B$2:B$100)*$B92,0)</x:f>
        <x:v>0</x:v>
      </x:c>
      <x:c r="D92" s="71" t="n">
        <x:f>IFERROR(_xlfn.XLOOKUP($A92,Database!$A$2:$A$100,Database!C$2:C$100)*$B92,0)</x:f>
        <x:v>0</x:v>
      </x:c>
      <x:c r="E92" s="71" t="n">
        <x:f>IFERROR(_xlfn.XLOOKUP($A92,Database!$A$2:$A$100,Database!D$2:D$100)*$B92,0)</x:f>
        <x:v>0</x:v>
      </x:c>
      <x:c r="F92" s="71" t="n">
        <x:f>IFERROR(_xlfn.XLOOKUP($A92,Database!$A$2:$A$100,Database!E$2:E$100)*$B92,0)</x:f>
        <x:v>0</x:v>
      </x:c>
      <x:c r="G92" s="71" t="n">
        <x:f>IFERROR(_xlfn.XLOOKUP($A92,Database!$A$2:$A$100,Database!F$2:F$100)*$B92,0)</x:f>
        <x:v>0</x:v>
      </x:c>
      <x:c r="H92" s="71" t="n">
        <x:f>IFERROR(_xlfn.XLOOKUP($A92,Database!$A$2:$A$100,Database!G$2:G$100)*$B92,0)</x:f>
        <x:v>0</x:v>
      </x:c>
      <x:c r="I92" s="71" t="n">
        <x:f>IFERROR(_xlfn.XLOOKUP($A92,Database!$A$2:$A$100,Database!H$2:H$100)*$B92,0)</x:f>
        <x:v>0</x:v>
      </x:c>
      <x:c r="J92" s="71" t="n">
        <x:f>IFERROR(_xlfn.XLOOKUP($A92,Database!$A$2:$A$100,Database!I$2:I$100)*$B92,0)</x:f>
        <x:v>0</x:v>
      </x:c>
    </x:row>
    <x:row r="93">
      <x:c r="A93" s="63"/>
      <x:c r="B93" s="66"/>
      <x:c r="C93" s="71" t="n">
        <x:f>IFERROR(_xlfn.XLOOKUP($A93,Database!$A$2:$A$100,Database!B$2:B$100)*$B93,0)</x:f>
        <x:v>0</x:v>
      </x:c>
      <x:c r="D93" s="71" t="n">
        <x:f>IFERROR(_xlfn.XLOOKUP($A93,Database!$A$2:$A$100,Database!C$2:C$100)*$B93,0)</x:f>
        <x:v>0</x:v>
      </x:c>
      <x:c r="E93" s="71" t="n">
        <x:f>IFERROR(_xlfn.XLOOKUP($A93,Database!$A$2:$A$100,Database!D$2:D$100)*$B93,0)</x:f>
        <x:v>0</x:v>
      </x:c>
      <x:c r="F93" s="71" t="n">
        <x:f>IFERROR(_xlfn.XLOOKUP($A93,Database!$A$2:$A$100,Database!E$2:E$100)*$B93,0)</x:f>
        <x:v>0</x:v>
      </x:c>
      <x:c r="G93" s="71" t="n">
        <x:f>IFERROR(_xlfn.XLOOKUP($A93,Database!$A$2:$A$100,Database!F$2:F$100)*$B93,0)</x:f>
        <x:v>0</x:v>
      </x:c>
      <x:c r="H93" s="71" t="n">
        <x:f>IFERROR(_xlfn.XLOOKUP($A93,Database!$A$2:$A$100,Database!G$2:G$100)*$B93,0)</x:f>
        <x:v>0</x:v>
      </x:c>
      <x:c r="I93" s="71" t="n">
        <x:f>IFERROR(_xlfn.XLOOKUP($A93,Database!$A$2:$A$100,Database!H$2:H$100)*$B93,0)</x:f>
        <x:v>0</x:v>
      </x:c>
      <x:c r="J93" s="71" t="n">
        <x:f>IFERROR(_xlfn.XLOOKUP($A93,Database!$A$2:$A$100,Database!I$2:I$100)*$B93,0)</x:f>
        <x:v>0</x:v>
      </x:c>
    </x:row>
    <x:row r="94">
      <x:c r="A94" s="63"/>
      <x:c r="B94" s="66"/>
      <x:c r="C94" s="71" t="n">
        <x:f>IFERROR(_xlfn.XLOOKUP($A94,Database!$A$2:$A$100,Database!B$2:B$100)*$B94,0)</x:f>
        <x:v>0</x:v>
      </x:c>
      <x:c r="D94" s="71" t="n">
        <x:f>IFERROR(_xlfn.XLOOKUP($A94,Database!$A$2:$A$100,Database!C$2:C$100)*$B94,0)</x:f>
        <x:v>0</x:v>
      </x:c>
      <x:c r="E94" s="71" t="n">
        <x:f>IFERROR(_xlfn.XLOOKUP($A94,Database!$A$2:$A$100,Database!D$2:D$100)*$B94,0)</x:f>
        <x:v>0</x:v>
      </x:c>
      <x:c r="F94" s="71" t="n">
        <x:f>IFERROR(_xlfn.XLOOKUP($A94,Database!$A$2:$A$100,Database!E$2:E$100)*$B94,0)</x:f>
        <x:v>0</x:v>
      </x:c>
      <x:c r="G94" s="71" t="n">
        <x:f>IFERROR(_xlfn.XLOOKUP($A94,Database!$A$2:$A$100,Database!F$2:F$100)*$B94,0)</x:f>
        <x:v>0</x:v>
      </x:c>
      <x:c r="H94" s="71" t="n">
        <x:f>IFERROR(_xlfn.XLOOKUP($A94,Database!$A$2:$A$100,Database!G$2:G$100)*$B94,0)</x:f>
        <x:v>0</x:v>
      </x:c>
      <x:c r="I94" s="71" t="n">
        <x:f>IFERROR(_xlfn.XLOOKUP($A94,Database!$A$2:$A$100,Database!H$2:H$100)*$B94,0)</x:f>
        <x:v>0</x:v>
      </x:c>
      <x:c r="J94" s="71" t="n">
        <x:f>IFERROR(_xlfn.XLOOKUP($A94,Database!$A$2:$A$100,Database!I$2:I$100)*$B94,0)</x:f>
        <x:v>0</x:v>
      </x:c>
    </x:row>
    <x:row r="95">
      <x:c r="A95" s="63"/>
      <x:c r="B95" s="66"/>
      <x:c r="C95" s="71" t="n">
        <x:f>IFERROR(_xlfn.XLOOKUP($A95,Database!$A$2:$A$100,Database!B$2:B$100)*$B95,0)</x:f>
        <x:v>0</x:v>
      </x:c>
      <x:c r="D95" s="71" t="n">
        <x:f>IFERROR(_xlfn.XLOOKUP($A95,Database!$A$2:$A$100,Database!C$2:C$100)*$B95,0)</x:f>
        <x:v>0</x:v>
      </x:c>
      <x:c r="E95" s="71" t="n">
        <x:f>IFERROR(_xlfn.XLOOKUP($A95,Database!$A$2:$A$100,Database!D$2:D$100)*$B95,0)</x:f>
        <x:v>0</x:v>
      </x:c>
      <x:c r="F95" s="71" t="n">
        <x:f>IFERROR(_xlfn.XLOOKUP($A95,Database!$A$2:$A$100,Database!E$2:E$100)*$B95,0)</x:f>
        <x:v>0</x:v>
      </x:c>
      <x:c r="G95" s="71" t="n">
        <x:f>IFERROR(_xlfn.XLOOKUP($A95,Database!$A$2:$A$100,Database!F$2:F$100)*$B95,0)</x:f>
        <x:v>0</x:v>
      </x:c>
      <x:c r="H95" s="71" t="n">
        <x:f>IFERROR(_xlfn.XLOOKUP($A95,Database!$A$2:$A$100,Database!G$2:G$100)*$B95,0)</x:f>
        <x:v>0</x:v>
      </x:c>
      <x:c r="I95" s="71" t="n">
        <x:f>IFERROR(_xlfn.XLOOKUP($A95,Database!$A$2:$A$100,Database!H$2:H$100)*$B95,0)</x:f>
        <x:v>0</x:v>
      </x:c>
      <x:c r="J95" s="71" t="n">
        <x:f>IFERROR(_xlfn.XLOOKUP($A95,Database!$A$2:$A$100,Database!I$2:I$100)*$B95,0)</x:f>
        <x:v>0</x:v>
      </x:c>
    </x:row>
    <x:row r="96">
      <x:c r="A96" s="63"/>
      <x:c r="B96" s="66"/>
      <x:c r="C96" s="71" t="n">
        <x:f>IFERROR(_xlfn.XLOOKUP($A96,Database!$A$2:$A$100,Database!B$2:B$100)*$B96,0)</x:f>
        <x:v>0</x:v>
      </x:c>
      <x:c r="D96" s="71" t="n">
        <x:f>IFERROR(_xlfn.XLOOKUP($A96,Database!$A$2:$A$100,Database!C$2:C$100)*$B96,0)</x:f>
        <x:v>0</x:v>
      </x:c>
      <x:c r="E96" s="71" t="n">
        <x:f>IFERROR(_xlfn.XLOOKUP($A96,Database!$A$2:$A$100,Database!D$2:D$100)*$B96,0)</x:f>
        <x:v>0</x:v>
      </x:c>
      <x:c r="F96" s="71" t="n">
        <x:f>IFERROR(_xlfn.XLOOKUP($A96,Database!$A$2:$A$100,Database!E$2:E$100)*$B96,0)</x:f>
        <x:v>0</x:v>
      </x:c>
      <x:c r="G96" s="71" t="n">
        <x:f>IFERROR(_xlfn.XLOOKUP($A96,Database!$A$2:$A$100,Database!F$2:F$100)*$B96,0)</x:f>
        <x:v>0</x:v>
      </x:c>
      <x:c r="H96" s="71" t="n">
        <x:f>IFERROR(_xlfn.XLOOKUP($A96,Database!$A$2:$A$100,Database!G$2:G$100)*$B96,0)</x:f>
        <x:v>0</x:v>
      </x:c>
      <x:c r="I96" s="71" t="n">
        <x:f>IFERROR(_xlfn.XLOOKUP($A96,Database!$A$2:$A$100,Database!H$2:H$100)*$B96,0)</x:f>
        <x:v>0</x:v>
      </x:c>
      <x:c r="J96" s="71" t="n">
        <x:f>IFERROR(_xlfn.XLOOKUP($A96,Database!$A$2:$A$100,Database!I$2:I$100)*$B96,0)</x:f>
        <x:v>0</x:v>
      </x:c>
    </x:row>
    <x:row r="97">
      <x:c r="A97" s="63"/>
      <x:c r="B97" s="66"/>
      <x:c r="C97" s="71" t="n">
        <x:f>IFERROR(_xlfn.XLOOKUP($A97,Database!$A$2:$A$100,Database!B$2:B$100)*$B97,0)</x:f>
        <x:v>0</x:v>
      </x:c>
      <x:c r="D97" s="71" t="n">
        <x:f>IFERROR(_xlfn.XLOOKUP($A97,Database!$A$2:$A$100,Database!C$2:C$100)*$B97,0)</x:f>
        <x:v>0</x:v>
      </x:c>
      <x:c r="E97" s="71" t="n">
        <x:f>IFERROR(_xlfn.XLOOKUP($A97,Database!$A$2:$A$100,Database!D$2:D$100)*$B97,0)</x:f>
        <x:v>0</x:v>
      </x:c>
      <x:c r="F97" s="71" t="n">
        <x:f>IFERROR(_xlfn.XLOOKUP($A97,Database!$A$2:$A$100,Database!E$2:E$100)*$B97,0)</x:f>
        <x:v>0</x:v>
      </x:c>
      <x:c r="G97" s="71" t="n">
        <x:f>IFERROR(_xlfn.XLOOKUP($A97,Database!$A$2:$A$100,Database!F$2:F$100)*$B97,0)</x:f>
        <x:v>0</x:v>
      </x:c>
      <x:c r="H97" s="71" t="n">
        <x:f>IFERROR(_xlfn.XLOOKUP($A97,Database!$A$2:$A$100,Database!G$2:G$100)*$B97,0)</x:f>
        <x:v>0</x:v>
      </x:c>
      <x:c r="I97" s="71" t="n">
        <x:f>IFERROR(_xlfn.XLOOKUP($A97,Database!$A$2:$A$100,Database!H$2:H$100)*$B97,0)</x:f>
        <x:v>0</x:v>
      </x:c>
      <x:c r="J97" s="71" t="n">
        <x:f>IFERROR(_xlfn.XLOOKUP($A97,Database!$A$2:$A$100,Database!I$2:I$100)*$B97,0)</x:f>
        <x:v>0</x:v>
      </x:c>
    </x:row>
    <x:row r="98">
      <x:c r="A98" s="63"/>
      <x:c r="B98" s="66"/>
      <x:c r="C98" s="71" t="n">
        <x:f>IFERROR(_xlfn.XLOOKUP($A98,Database!$A$2:$A$100,Database!B$2:B$100)*$B98,0)</x:f>
        <x:v>0</x:v>
      </x:c>
      <x:c r="D98" s="71" t="n">
        <x:f>IFERROR(_xlfn.XLOOKUP($A98,Database!$A$2:$A$100,Database!C$2:C$100)*$B98,0)</x:f>
        <x:v>0</x:v>
      </x:c>
      <x:c r="E98" s="71" t="n">
        <x:f>IFERROR(_xlfn.XLOOKUP($A98,Database!$A$2:$A$100,Database!D$2:D$100)*$B98,0)</x:f>
        <x:v>0</x:v>
      </x:c>
      <x:c r="F98" s="71" t="n">
        <x:f>IFERROR(_xlfn.XLOOKUP($A98,Database!$A$2:$A$100,Database!E$2:E$100)*$B98,0)</x:f>
        <x:v>0</x:v>
      </x:c>
      <x:c r="G98" s="71" t="n">
        <x:f>IFERROR(_xlfn.XLOOKUP($A98,Database!$A$2:$A$100,Database!F$2:F$100)*$B98,0)</x:f>
        <x:v>0</x:v>
      </x:c>
      <x:c r="H98" s="71" t="n">
        <x:f>IFERROR(_xlfn.XLOOKUP($A98,Database!$A$2:$A$100,Database!G$2:G$100)*$B98,0)</x:f>
        <x:v>0</x:v>
      </x:c>
      <x:c r="I98" s="71" t="n">
        <x:f>IFERROR(_xlfn.XLOOKUP($A98,Database!$A$2:$A$100,Database!H$2:H$100)*$B98,0)</x:f>
        <x:v>0</x:v>
      </x:c>
      <x:c r="J98" s="71" t="n">
        <x:f>IFERROR(_xlfn.XLOOKUP($A98,Database!$A$2:$A$100,Database!I$2:I$100)*$B98,0)</x:f>
        <x:v>0</x:v>
      </x:c>
    </x:row>
    <x:row r="99">
      <x:c r="A99" s="63"/>
      <x:c r="B99" s="66"/>
      <x:c r="C99" s="71" t="n">
        <x:f>IFERROR(_xlfn.XLOOKUP($A99,Database!$A$2:$A$100,Database!B$2:B$100)*$B99,0)</x:f>
        <x:v>0</x:v>
      </x:c>
      <x:c r="D99" s="71" t="n">
        <x:f>IFERROR(_xlfn.XLOOKUP($A99,Database!$A$2:$A$100,Database!C$2:C$100)*$B99,0)</x:f>
        <x:v>0</x:v>
      </x:c>
      <x:c r="E99" s="71" t="n">
        <x:f>IFERROR(_xlfn.XLOOKUP($A99,Database!$A$2:$A$100,Database!D$2:D$100)*$B99,0)</x:f>
        <x:v>0</x:v>
      </x:c>
      <x:c r="F99" s="71" t="n">
        <x:f>IFERROR(_xlfn.XLOOKUP($A99,Database!$A$2:$A$100,Database!E$2:E$100)*$B99,0)</x:f>
        <x:v>0</x:v>
      </x:c>
      <x:c r="G99" s="71" t="n">
        <x:f>IFERROR(_xlfn.XLOOKUP($A99,Database!$A$2:$A$100,Database!F$2:F$100)*$B99,0)</x:f>
        <x:v>0</x:v>
      </x:c>
      <x:c r="H99" s="71" t="n">
        <x:f>IFERROR(_xlfn.XLOOKUP($A99,Database!$A$2:$A$100,Database!G$2:G$100)*$B99,0)</x:f>
        <x:v>0</x:v>
      </x:c>
      <x:c r="I99" s="71" t="n">
        <x:f>IFERROR(_xlfn.XLOOKUP($A99,Database!$A$2:$A$100,Database!H$2:H$100)*$B99,0)</x:f>
        <x:v>0</x:v>
      </x:c>
      <x:c r="J99" s="71" t="n">
        <x:f>IFERROR(_xlfn.XLOOKUP($A99,Database!$A$2:$A$100,Database!I$2:I$100)*$B99,0)</x:f>
        <x:v>0</x:v>
      </x:c>
    </x:row>
    <x:row r="100">
      <x:c r="A100" s="63"/>
      <x:c r="B100" s="66"/>
      <x:c r="C100" s="71" t="n">
        <x:f>IFERROR(_xlfn.XLOOKUP($A100,Database!$A$2:$A$100,Database!B$2:B$100)*$B100,0)</x:f>
        <x:v>0</x:v>
      </x:c>
      <x:c r="D100" s="71" t="n">
        <x:f>IFERROR(_xlfn.XLOOKUP($A100,Database!$A$2:$A$100,Database!C$2:C$100)*$B100,0)</x:f>
        <x:v>0</x:v>
      </x:c>
      <x:c r="E100" s="71" t="n">
        <x:f>IFERROR(_xlfn.XLOOKUP($A100,Database!$A$2:$A$100,Database!D$2:D$100)*$B100,0)</x:f>
        <x:v>0</x:v>
      </x:c>
      <x:c r="F100" s="71" t="n">
        <x:f>IFERROR(_xlfn.XLOOKUP($A100,Database!$A$2:$A$100,Database!E$2:E$100)*$B100,0)</x:f>
        <x:v>0</x:v>
      </x:c>
      <x:c r="G100" s="71" t="n">
        <x:f>IFERROR(_xlfn.XLOOKUP($A100,Database!$A$2:$A$100,Database!F$2:F$100)*$B100,0)</x:f>
        <x:v>0</x:v>
      </x:c>
      <x:c r="H100" s="71" t="n">
        <x:f>IFERROR(_xlfn.XLOOKUP($A100,Database!$A$2:$A$100,Database!G$2:G$100)*$B100,0)</x:f>
        <x:v>0</x:v>
      </x:c>
      <x:c r="I100" s="71" t="n">
        <x:f>IFERROR(_xlfn.XLOOKUP($A100,Database!$A$2:$A$100,Database!H$2:H$100)*$B100,0)</x:f>
        <x:v>0</x:v>
      </x:c>
      <x:c r="J100" s="71" t="n">
        <x:f>IFERROR(_xlfn.XLOOKUP($A100,Database!$A$2:$A$100,Database!I$2:I$100)*$B100,0)</x:f>
        <x:v>0</x:v>
      </x:c>
    </x:row>
  </x:sheetData>
  <x:mergeCells>
    <x:mergeCell ref="U1:X9"/>
  </x:mergeCells>
  <x:conditionalFormatting sqref="L2:L2">
    <x:cfRule type="containsText" dxfId="0" priority="1" operator="containsText" text="Correct"/>
    <x:cfRule type="notContainsText" dxfId="1" priority="2" text="Correct"/>
  </x:conditionalFormatting>
  <x:dataValidations count="1">
    <x:dataValidation type="list" allowBlank="1" showInputMessage="1" showErrorMessage="1" sqref="A2:A100">
      <x:formula1>Ingrediënten</x:formula1>
    </x:dataValidation>
  </x:dataValidations>
  <x:pageMargins left="0.7" right="0.7" top="0.75" bottom="0.75" header="0.3" footer="0.3"/>
  <x:legacyDrawing xmlns:r="http://schemas.openxmlformats.org/officeDocument/2006/relationships" r:id="R108da1d3f6474ac9"/>
</x:worksheet>
</file>