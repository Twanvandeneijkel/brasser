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2" name="Database" state="visible" r:id="rId4"/>
    <sheet sheetId="3" name="Recepten" state="visible" r:id="rId5"/>
    <sheet sheetId="1" name="Uitleg" state="visible" r:id="rId6"/>
    <sheet sheetId="4" name="Producten" state="visible" r:id="rId7"/>
    <sheet sheetId="5" name="Voorraad" state="visible" r:id="rId8"/>
    <sheet sheetId="6" name="Voorraadhistorie" state="visible" r:id="rId9"/>
    <sheet sheetId="7" name="Receptregels website" state="visible" r:id="rId10"/>
    <sheet sheetId="8" name="Voedingswaarden website" state="visible" r:id="rId11"/>
  </sheets>
  <definedNames>
    <definedName name="_xlnm._FilterDatabase">'Voedingswaarden website'!$A$4:$M$4</definedName>
  </definedNames>
  <calcPr calcId="171027" fullCalcOnLoad="1"/>
</workbook>
</file>

<file path=xl/sharedStrings.xml><?xml version="1.0" encoding="utf-8"?>
<sst xmlns="http://schemas.openxmlformats.org/spreadsheetml/2006/main" count="148" uniqueCount="95">
  <si>
    <t>Ingrediënt</t>
  </si>
  <si>
    <t>Energie (kcal)</t>
  </si>
  <si>
    <t>Vet (g)</t>
  </si>
  <si>
    <t>Verzadigd vet (g)</t>
  </si>
  <si>
    <t>Koolhydraten (g)</t>
  </si>
  <si>
    <t>Suikers (g)</t>
  </si>
  <si>
    <t>Vezels (g)</t>
  </si>
  <si>
    <t>Eiwitten (g)</t>
  </si>
  <si>
    <t>Zout (g)</t>
  </si>
  <si>
    <t>Website-ID</t>
  </si>
  <si>
    <t>Website bijgewerkt</t>
  </si>
  <si>
    <t>Curcuma</t>
  </si>
  <si>
    <t>3,3</t>
  </si>
  <si>
    <t>67,1</t>
  </si>
  <si>
    <t>3,2</t>
  </si>
  <si>
    <t>22,7</t>
  </si>
  <si>
    <t>9,7</t>
  </si>
  <si>
    <t>0,07</t>
  </si>
  <si>
    <t>Witte basterdsuiker</t>
  </si>
  <si>
    <t>Zout</t>
  </si>
  <si>
    <t>97,5</t>
  </si>
  <si>
    <t>Bloem</t>
  </si>
  <si>
    <t>hallo</t>
  </si>
  <si>
    <t>2026-09-14T10:03:40.000Z</t>
  </si>
  <si>
    <t>Kies ingrediënt</t>
  </si>
  <si>
    <t>Kies verhouding</t>
  </si>
  <si>
    <t>Totaal</t>
  </si>
  <si>
    <t>Brassers — zelfstandig Excel-overzicht</t>
  </si>
  <si>
    <t>Onderdeel</t>
  </si>
  <si>
    <t>Uitleg</t>
  </si>
  <si>
    <t>Bron</t>
  </si>
  <si>
    <t>Laatst bijgewerkt</t>
  </si>
  <si>
    <t>Websitegegevens</t>
  </si>
  <si>
    <t>Producten, voorraad, grondstoffen en recepten worden automatisch vernieuwd.</t>
  </si>
  <si>
    <t>SvelteKit + Prisma</t>
  </si>
  <si>
    <t>Zelfstandig gebruik</t>
  </si>
  <si>
    <t>De tabbladen en formules blijven werken wanneer de website niet actief is.</t>
  </si>
  <si>
    <t>Excel</t>
  </si>
  <si>
    <t>Direct beschikbaar</t>
  </si>
  <si>
    <t>Excel naar website</t>
  </si>
  <si>
    <t>Wijzigingen die alleen in Excel worden gemaakt gaan niet automatisch terug.</t>
  </si>
  <si>
    <t>Alleen-lezen synchronisatie</t>
  </si>
  <si>
    <t>Voorkomt conflicten</t>
  </si>
  <si>
    <t>Handmatige calculator</t>
  </si>
  <si>
    <t>Gebruik Recepten en Database voor losse berekeningen.</t>
  </si>
  <si>
    <t>Excel-formules</t>
  </si>
  <si>
    <t>Maximaal 100 regels</t>
  </si>
  <si>
    <t>Producten en gewichtsvarianten</t>
  </si>
  <si>
    <t>Automatisch uit Prisma. Gewichten staan in gram.</t>
  </si>
  <si>
    <t>Product-ID</t>
  </si>
  <si>
    <t>Variant-ID</t>
  </si>
  <si>
    <t>Productnaam</t>
  </si>
  <si>
    <t>Gewicht (g)</t>
  </si>
  <si>
    <t>Speltpittenbrood</t>
  </si>
  <si>
    <t>Volkoren tarwemeel</t>
  </si>
  <si>
    <t>Actuele winkelvoorraad en productieadvies</t>
  </si>
  <si>
    <t>Blauwe cellen zijn lokaal aanpasbaar; de advieskolommen rekenen opnieuw.</t>
  </si>
  <si>
    <t>Voorraad-ID</t>
  </si>
  <si>
    <t>Product</t>
  </si>
  <si>
    <t>Actueel</t>
  </si>
  <si>
    <t>Vakcapaciteit</t>
  </si>
  <si>
    <t>Per ronde</t>
  </si>
  <si>
    <t>Nog nodig</t>
  </si>
  <si>
    <t>Rondes</t>
  </si>
  <si>
    <t>Te maken</t>
  </si>
  <si>
    <t>Extra</t>
  </si>
  <si>
    <t>Status</t>
  </si>
  <si>
    <t>Bijgewerkt</t>
  </si>
  <si>
    <t>2026-09-11T08:33:27.000Z</t>
  </si>
  <si>
    <t>2026-09-11T08:35:46.000Z</t>
  </si>
  <si>
    <t>Laatste voorraadtellingen</t>
  </si>
  <si>
    <t>De meest recente 100 tellingen uit de website.</t>
  </si>
  <si>
    <t>Mutatie-ID</t>
  </si>
  <si>
    <t>Vorige</t>
  </si>
  <si>
    <t>Nieuw</t>
  </si>
  <si>
    <t>Verschil</t>
  </si>
  <si>
    <t>Door</t>
  </si>
  <si>
    <t>Notitie</t>
  </si>
  <si>
    <t>Moment</t>
  </si>
  <si>
    <t>Twan</t>
  </si>
  <si>
    <t/>
  </si>
  <si>
    <t>Recepten uit de website</t>
  </si>
  <si>
    <t>Iedere rij is één grondstof in één productvariant.</t>
  </si>
  <si>
    <t>Recept-ID</t>
  </si>
  <si>
    <t>Eindgewicht (g)</t>
  </si>
  <si>
    <t>Regel-ID</t>
  </si>
  <si>
    <t>Grondstof-ID</t>
  </si>
  <si>
    <t>Grondstof</t>
  </si>
  <si>
    <t>Hoeveelheid (g)</t>
  </si>
  <si>
    <t>Voedingswaarden per product</t>
  </si>
  <si>
    <t>Per 100 gram berekend uit de recepten. De laatste kolom bevat kopieerbare tekst.</t>
  </si>
  <si>
    <t>Energie (kJ)</t>
  </si>
  <si>
    <t>Verzadigd (g)</t>
  </si>
  <si>
    <t>Eiwit (g)</t>
  </si>
  <si>
    <t>Kopieerbare tekst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</si>
</sst>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2" x14ac:knownFonts="1">
    <font>
      <color theme="1"/>
      <family val="2"/>
      <scheme val="minor"/>
      <sz val="11"/>
      <name val="Calibri"/>
    </font>
    <font>
      <b/>
      <color rgb="FFFFFFFF"/>
      <name val="Aptos"/>
    </font>
    <font>
      <b/>
      <i/>
      <color rgb="FF4A3B00"/>
      <strike/>
      <sz val="10"/>
      <name val="Aptos"/>
    </font>
    <font>
      <b/>
      <i/>
      <color theme="1"/>
      <strike/>
      <sz val="10"/>
      <name val="Aptos"/>
    </font>
    <font>
      <b/>
      <i/>
      <color theme="1"/>
      <strike/>
      <sz val="11"/>
      <name val="Aptos Narrow"/>
    </font>
    <font>
      <b/>
      <i/>
      <color rgb="FFFFFFFF"/>
      <strike/>
      <sz val="11"/>
      <name val="Aptos Narrow"/>
    </font>
    <font>
      <b/>
      <i/>
      <color rgb="FF243B53"/>
      <strike/>
      <sz val="11"/>
      <name val="Aptos Narrow"/>
    </font>
    <font>
      <b/>
      <i/>
      <color rgb="FF173B3A"/>
      <strike/>
      <sz val="11"/>
      <name val="Aptos Narrow"/>
    </font>
    <font>
      <b/>
      <i/>
      <color rgb="FF334E68"/>
      <strike/>
      <sz val="11"/>
      <name val="Aptos Narrow"/>
    </font>
    <font>
      <b/>
      <i/>
      <color rgb="FF17365D"/>
      <strike/>
      <sz val="11"/>
      <name val="Aptos Narrow"/>
    </font>
    <font>
      <b/>
      <color rgb="FFFFFFFF"/>
      <sz val="15"/>
      <name val="Aptos"/>
    </font>
    <font>
      <sz val="10"/>
      <name val="Aptos"/>
    </font>
  </fonts>
  <fills count="14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FFF8E1"/>
        <bgColor rgb="FF000000"/>
      </patternFill>
    </fill>
    <fill>
      <patternFill patternType="solid">
        <fgColor rgb="FF0F766E"/>
        <bgColor rgb="FF000000"/>
      </patternFill>
    </fill>
    <fill>
      <patternFill patternType="solid">
        <fgColor rgb="FF486581"/>
        <bgColor rgb="FF000000"/>
      </patternFill>
    </fill>
    <fill>
      <patternFill patternType="solid">
        <fgColor rgb="FF1F4E78"/>
        <bgColor rgb="FF000000"/>
      </patternFill>
    </fill>
    <fill>
      <patternFill patternType="solid">
        <fgColor rgb="FFFFF7E6"/>
        <bgColor rgb="FF000000"/>
      </patternFill>
    </fill>
    <fill>
      <patternFill patternType="solid">
        <fgColor rgb="FFE6F4F1"/>
        <bgColor rgb="FF000000"/>
      </patternFill>
    </fill>
    <fill>
      <patternFill patternType="solid">
        <fgColor rgb="FFF2F6F9"/>
        <bgColor rgb="FF000000"/>
      </patternFill>
    </fill>
    <fill>
      <patternFill patternType="solid">
        <fgColor rgb="FFD9EAF7"/>
        <bgColor rgb="FF000000"/>
      </patternFill>
    </fill>
    <fill>
      <patternFill patternType="solid">
        <fgColor rgb="FF0F4C5C"/>
      </patternFill>
    </fill>
    <fill>
      <patternFill patternType="solid">
        <fgColor rgb="FFF0FDFA"/>
      </patternFill>
    </fill>
    <fill>
      <patternFill patternType="solid">
        <fgColor rgb="FFE0F2FE"/>
      </patternFill>
    </fill>
  </fills>
  <borders count="15">
    <border>
      <left/>
      <right/>
      <top/>
      <bottom/>
      <diagonal/>
    </border>
    <border>
      <left/>
      <right/>
      <top/>
      <bottom style="hair">
        <color rgb="FFE5E7EB"/>
      </bottom>
      <diagonal/>
    </border>
    <border>
      <left style="thin">
        <color rgb="FF0B5F59"/>
      </left>
      <right/>
      <top style="thin">
        <color rgb="FF0B5F59"/>
      </top>
      <bottom style="thin">
        <color rgb="FF0B5F59"/>
      </bottom>
      <diagonal/>
    </border>
    <border>
      <left/>
      <right style="thin">
        <color rgb="FF0B5F59"/>
      </right>
      <top style="thin">
        <color rgb="FF0B5F59"/>
      </top>
      <bottom style="thin">
        <color rgb="FF0B5F59"/>
      </bottom>
      <diagonal/>
    </border>
    <border>
      <left style="medium">
        <color rgb="FF0F766E"/>
      </left>
      <right/>
      <top style="medium">
        <color rgb="FF0F766E"/>
      </top>
      <bottom/>
      <diagonal/>
    </border>
    <border>
      <left/>
      <right/>
      <top style="medium">
        <color rgb="FF0F766E"/>
      </top>
      <bottom/>
      <diagonal/>
    </border>
    <border>
      <left/>
      <right style="medium">
        <color rgb="FF0F766E"/>
      </right>
      <top style="medium">
        <color rgb="FF0F766E"/>
      </top>
      <bottom/>
      <diagonal/>
    </border>
    <border>
      <left style="thin">
        <color rgb="FF9CC2E5"/>
      </left>
      <right/>
      <top style="thin">
        <color rgb="FF9CC2E5"/>
      </top>
      <bottom style="thin">
        <color rgb="FF9CC2E5"/>
      </bottom>
      <diagonal/>
    </border>
    <border>
      <left/>
      <right/>
      <top style="thin">
        <color rgb="FF9CC2E5"/>
      </top>
      <bottom style="thin">
        <color rgb="FF9CC2E5"/>
      </bottom>
      <diagonal/>
    </border>
    <border>
      <left/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medium">
        <color rgb="FF0F766E"/>
      </left>
      <right/>
      <top/>
      <bottom/>
      <diagonal/>
    </border>
    <border>
      <left/>
      <right style="medium">
        <color rgb="FF0F766E"/>
      </right>
      <top/>
      <bottom/>
      <diagonal/>
    </border>
    <border>
      <left style="medium">
        <color rgb="FF0F766E"/>
      </left>
      <right/>
      <top/>
      <bottom style="medium">
        <color rgb="FF0F766E"/>
      </bottom>
      <diagonal/>
    </border>
    <border>
      <left/>
      <right/>
      <top/>
      <bottom style="medium">
        <color rgb="FF0F766E"/>
      </bottom>
      <diagonal/>
    </border>
    <border>
      <left/>
      <right style="medium">
        <color rgb="FF0F766E"/>
      </right>
      <top/>
      <bottom style="medium">
        <color rgb="FF0F766E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2" fontId="2" fillId="3" borderId="0" xfId="0" applyNumberFormat="1" applyFont="1" applyFill="1" applyAlignment="1">
      <alignment horizontal="right"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2" fontId="3" fillId="0" borderId="0" xfId="0" applyNumberFormat="1" applyFont="1" applyAlignment="1">
      <alignment vertical="center" wrapText="1"/>
    </xf>
    <xf numFmtId="2" fontId="3" fillId="0" borderId="0" xfId="0" applyNumberFormat="1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0" fontId="3" fillId="0" borderId="1" xfId="0" applyFont="1" applyBorder="1" applyAlignment="1">
      <alignment vertical="center"/>
    </xf>
    <xf numFmtId="2" fontId="3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horizontal="right" vertical="center" wrapText="1"/>
    </xf>
    <xf numFmtId="0" fontId="5" fillId="4" borderId="2" xfId="0" applyFont="1" applyFill="1" applyBorder="1"/>
    <xf numFmtId="0" fontId="5" fillId="4" borderId="3" xfId="0" applyFont="1" applyFill="1" applyBorder="1"/>
    <xf numFmtId="0" fontId="5" fillId="5" borderId="0" xfId="0" applyFont="1" applyFill="1" applyAlignment="1">
      <alignment horizontal="right" vertical="center" wrapText="1"/>
    </xf>
    <xf numFmtId="0" fontId="5" fillId="6" borderId="0" xfId="0" applyFont="1" applyFill="1"/>
    <xf numFmtId="0" fontId="5" fillId="6" borderId="0" xfId="0" applyFont="1" applyFill="1" applyAlignment="1">
      <alignment horizontal="right" vertical="center" wrapText="1"/>
    </xf>
    <xf numFmtId="0" fontId="6" fillId="7" borderId="4" xfId="0" applyFont="1" applyFill="1" applyBorder="1" applyAlignment="1">
      <alignment horizontal="left" vertical="top" wrapText="1"/>
    </xf>
    <xf numFmtId="0" fontId="6" fillId="7" borderId="5" xfId="0" applyFont="1" applyFill="1" applyBorder="1" applyAlignment="1">
      <alignment horizontal="left" vertical="top" wrapText="1"/>
    </xf>
    <xf numFmtId="0" fontId="6" fillId="7" borderId="6" xfId="0" applyFont="1" applyFill="1" applyBorder="1" applyAlignment="1">
      <alignment horizontal="left" vertical="top" wrapText="1"/>
    </xf>
    <xf numFmtId="0" fontId="7" fillId="8" borderId="0" xfId="0" applyFont="1" applyFill="1"/>
    <xf numFmtId="10" fontId="7" fillId="8" borderId="0" xfId="0" applyNumberFormat="1" applyFont="1" applyFill="1" applyAlignment="1">
      <alignment horizontal="right" vertical="center" wrapText="1"/>
    </xf>
    <xf numFmtId="0" fontId="8" fillId="9" borderId="0" xfId="0" applyFont="1" applyFill="1"/>
    <xf numFmtId="1" fontId="8" fillId="9" borderId="0" xfId="0" applyNumberFormat="1" applyFont="1" applyFill="1"/>
    <xf numFmtId="0" fontId="9" fillId="10" borderId="7" xfId="0" applyFont="1" applyFill="1" applyBorder="1"/>
    <xf numFmtId="164" fontId="9" fillId="10" borderId="8" xfId="0" applyNumberFormat="1" applyFont="1" applyFill="1" applyBorder="1"/>
    <xf numFmtId="164" fontId="9" fillId="10" borderId="9" xfId="0" applyNumberFormat="1" applyFont="1" applyFill="1" applyBorder="1"/>
    <xf numFmtId="0" fontId="6" fillId="7" borderId="10" xfId="0" applyFont="1" applyFill="1" applyBorder="1" applyAlignment="1">
      <alignment horizontal="left" vertical="top" wrapText="1"/>
    </xf>
    <xf numFmtId="0" fontId="6" fillId="7" borderId="0" xfId="0" applyFont="1" applyFill="1" applyAlignment="1">
      <alignment horizontal="left" vertical="top" wrapText="1"/>
    </xf>
    <xf numFmtId="0" fontId="6" fillId="7" borderId="11" xfId="0" applyFont="1" applyFill="1" applyBorder="1" applyAlignment="1">
      <alignment horizontal="left" vertical="top" wrapText="1"/>
    </xf>
    <xf numFmtId="9" fontId="7" fillId="8" borderId="0" xfId="0" applyNumberFormat="1" applyFont="1" applyFill="1" applyAlignment="1">
      <alignment horizontal="right" vertical="center" wrapText="1"/>
    </xf>
    <xf numFmtId="10" fontId="7" fillId="8" borderId="0" xfId="0" applyNumberFormat="1" applyFont="1" applyFill="1"/>
    <xf numFmtId="0" fontId="6" fillId="7" borderId="12" xfId="0" applyFont="1" applyFill="1" applyBorder="1" applyAlignment="1">
      <alignment horizontal="left" vertical="top" wrapText="1"/>
    </xf>
    <xf numFmtId="0" fontId="6" fillId="7" borderId="13" xfId="0" applyFont="1" applyFill="1" applyBorder="1" applyAlignment="1">
      <alignment horizontal="left" vertical="top" wrapText="1"/>
    </xf>
    <xf numFmtId="0" fontId="6" fillId="7" borderId="14" xfId="0" applyFont="1" applyFill="1" applyBorder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10" fontId="4" fillId="0" borderId="0" xfId="0" applyNumberFormat="1" applyFont="1" applyAlignment="1">
      <alignment horizontal="right" vertical="center" wrapText="1"/>
    </xf>
    <xf numFmtId="9" fontId="4" fillId="0" borderId="0" xfId="0" applyNumberFormat="1" applyFont="1" applyAlignment="1">
      <alignment horizontal="right" vertical="center" wrapText="1"/>
    </xf>
    <xf numFmtId="0" fontId="10" fillId="11" borderId="0" xfId="0" applyFont="1" applyFill="1" applyAlignment="1">
      <alignment vertical="center"/>
    </xf>
    <xf numFmtId="14" fontId="0" fillId="0" borderId="0" xfId="0" applyNumberFormat="1"/>
    <xf numFmtId="0" fontId="0" fillId="12" borderId="0" xfId="0" applyFill="1" applyAlignment="1">
      <alignment vertical="center" wrapText="1"/>
    </xf>
    <xf numFmtId="0" fontId="11" fillId="0" borderId="1" xfId="0" applyFont="1" applyBorder="1" applyAlignment="1">
      <alignment vertical="center"/>
    </xf>
    <xf numFmtId="0" fontId="11" fillId="1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1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76" customWidth="1"/>
    <col min="3" max="3" width="26" customWidth="1"/>
    <col min="4" max="4" width="24" customWidth="1"/>
  </cols>
  <sheetData>
    <row r="1" ht="28" customHeight="1" spans="1:4" x14ac:dyDescent="0.25">
      <c r="A1" s="41" t="s">
        <v>27</v>
      </c>
      <c r="B1" s="41"/>
      <c r="C1" s="41"/>
      <c r="D1" s="41"/>
    </row>
    <row r="3" ht="32" customHeight="1" spans="1:4" x14ac:dyDescent="0.25">
      <c r="A3" s="1" t="s">
        <v>28</v>
      </c>
      <c r="B3" s="1" t="s">
        <v>29</v>
      </c>
      <c r="C3" s="1" t="s">
        <v>30</v>
      </c>
      <c r="D3" s="1" t="s">
        <v>31</v>
      </c>
    </row>
    <row r="4" spans="1:4" x14ac:dyDescent="0.25">
      <c r="A4" t="s">
        <v>32</v>
      </c>
      <c r="B4" t="s">
        <v>33</v>
      </c>
      <c r="C4" t="s">
        <v>34</v>
      </c>
      <c r="D4" s="42">
        <v>46294.4947415625</v>
      </c>
    </row>
    <row r="5" spans="1:4" x14ac:dyDescent="0.25">
      <c r="A5" t="s">
        <v>35</v>
      </c>
      <c r="B5" t="s">
        <v>36</v>
      </c>
      <c r="C5" t="s">
        <v>37</v>
      </c>
      <c r="D5" t="s">
        <v>38</v>
      </c>
    </row>
    <row r="6" spans="1:4" x14ac:dyDescent="0.25">
      <c r="A6" t="s">
        <v>39</v>
      </c>
      <c r="B6" t="s">
        <v>40</v>
      </c>
      <c r="C6" t="s">
        <v>41</v>
      </c>
      <c r="D6" t="s">
        <v>42</v>
      </c>
    </row>
    <row r="7" spans="1:4" x14ac:dyDescent="0.25">
      <c r="A7" t="s">
        <v>43</v>
      </c>
      <c r="B7" t="s">
        <v>44</v>
      </c>
      <c r="C7" t="s">
        <v>45</v>
      </c>
      <c r="D7" t="s">
        <v>46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S13"/>
  <sheetViews>
    <sheetView workbookViewId="0" showGridLines="0">
      <pane ySplit="1" topLeftCell="A2" activePane="bottomLeft" state="frozen"/>
      <selection pane="bottomLeft"/>
    </sheetView>
  </sheetViews>
  <sheetFormatPr defaultRowHeight="14.4" outlineLevelRow="0" outlineLevelCol="0" x14ac:dyDescent="0" customHeight="1"/>
  <cols>
    <col min="1" max="1" width="28" customWidth="1"/>
    <col min="2" max="2" width="16" customWidth="1"/>
    <col min="3" max="3" width="14" customWidth="1"/>
    <col min="4" max="5" width="18" customWidth="1"/>
    <col min="6" max="8" width="14" customWidth="1"/>
    <col min="9" max="10" width="12" customWidth="1"/>
    <col min="11" max="11" width="24" customWidth="1"/>
  </cols>
  <sheetData>
    <row r="1" ht="32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3">
        <v>312</v>
      </c>
      <c r="C2" s="3" t="s">
        <v>12</v>
      </c>
      <c r="D2" s="3">
        <v>0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4"/>
      <c r="K2" s="4"/>
    </row>
    <row r="3" ht="43.200000762939" customHeight="1" spans="1:11" x14ac:dyDescent="0.25">
      <c r="A3" s="2" t="s">
        <v>18</v>
      </c>
      <c r="B3" s="3">
        <v>396</v>
      </c>
      <c r="C3" s="3">
        <v>0</v>
      </c>
      <c r="D3" s="3">
        <v>0</v>
      </c>
      <c r="E3" s="3">
        <v>99</v>
      </c>
      <c r="F3" s="3">
        <v>99</v>
      </c>
      <c r="G3" s="3">
        <v>0</v>
      </c>
      <c r="H3" s="3">
        <v>0</v>
      </c>
      <c r="I3" s="3">
        <v>0</v>
      </c>
      <c r="J3" s="4"/>
      <c r="K3" s="4"/>
    </row>
    <row r="4" spans="1:11" x14ac:dyDescent="0.25">
      <c r="A4" s="2" t="s">
        <v>19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 t="s">
        <v>20</v>
      </c>
      <c r="J4" s="4"/>
      <c r="K4" s="4"/>
    </row>
    <row r="5" spans="1:11" x14ac:dyDescent="0.25">
      <c r="A5" s="2" t="s">
        <v>21</v>
      </c>
      <c r="B5" s="3">
        <v>340</v>
      </c>
      <c r="C5" s="3">
        <v>1</v>
      </c>
      <c r="D5" s="3">
        <v>0</v>
      </c>
      <c r="E5" s="3">
        <v>71</v>
      </c>
      <c r="F5" s="3">
        <v>1</v>
      </c>
      <c r="G5" s="3">
        <v>4</v>
      </c>
      <c r="H5" s="3">
        <v>10</v>
      </c>
      <c r="I5" s="3">
        <v>0</v>
      </c>
      <c r="J5" s="4"/>
      <c r="K5" s="4"/>
    </row>
    <row r="6" spans="1:11" x14ac:dyDescent="0.25">
      <c r="A6" s="5"/>
      <c r="B6" s="6"/>
      <c r="C6" s="7"/>
      <c r="D6" s="7"/>
      <c r="E6" s="7"/>
      <c r="F6" s="7"/>
      <c r="G6" s="7"/>
      <c r="H6" s="7"/>
      <c r="I6" s="7"/>
      <c r="J6" s="4"/>
      <c r="K6" s="4"/>
    </row>
    <row r="7" spans="1:19" x14ac:dyDescent="0.25">
      <c r="A7" s="5"/>
      <c r="B7" s="6"/>
      <c r="C7" s="7"/>
      <c r="D7" s="7"/>
      <c r="E7" s="7"/>
      <c r="F7" s="7"/>
      <c r="G7" s="7"/>
      <c r="H7" s="7"/>
      <c r="I7" s="7"/>
      <c r="J7" s="4"/>
      <c r="K7" s="8"/>
      <c r="L7" s="9"/>
      <c r="M7" s="9"/>
      <c r="N7" s="9"/>
      <c r="O7" s="9"/>
      <c r="P7" s="9"/>
      <c r="Q7" s="9"/>
      <c r="R7" s="9"/>
      <c r="S7" s="9"/>
    </row>
    <row r="8" spans="1:19" x14ac:dyDescent="0.25">
      <c r="A8" s="5"/>
      <c r="B8" s="6"/>
      <c r="C8" s="7"/>
      <c r="D8" s="7"/>
      <c r="E8" s="7"/>
      <c r="F8" s="7"/>
      <c r="G8" s="7"/>
      <c r="H8" s="7"/>
      <c r="I8" s="7"/>
      <c r="J8" s="4"/>
      <c r="K8" s="5"/>
      <c r="L8" s="9"/>
      <c r="M8" s="9"/>
      <c r="N8" s="9"/>
      <c r="O8" s="9"/>
      <c r="P8" s="9"/>
      <c r="Q8" s="9"/>
      <c r="R8" s="9"/>
      <c r="S8" s="9"/>
    </row>
    <row r="9" spans="1:19" x14ac:dyDescent="0.25">
      <c r="A9" s="5"/>
      <c r="B9" s="6"/>
      <c r="C9" s="7"/>
      <c r="D9" s="7"/>
      <c r="E9" s="7"/>
      <c r="F9" s="7"/>
      <c r="G9" s="7"/>
      <c r="H9" s="7"/>
      <c r="I9" s="7"/>
      <c r="J9" s="4"/>
      <c r="K9" s="5"/>
      <c r="L9" s="9"/>
      <c r="M9" s="9"/>
      <c r="N9" s="9"/>
      <c r="O9" s="9"/>
      <c r="P9" s="9"/>
      <c r="Q9" s="9"/>
      <c r="R9" s="9"/>
      <c r="S9" s="9"/>
    </row>
    <row r="10" spans="1:19" x14ac:dyDescent="0.25">
      <c r="A10" s="5"/>
      <c r="B10" s="6"/>
      <c r="C10" s="7"/>
      <c r="D10" s="7"/>
      <c r="E10" s="7"/>
      <c r="F10" s="7"/>
      <c r="G10" s="7"/>
      <c r="H10" s="7"/>
      <c r="I10" s="7"/>
      <c r="J10" s="4"/>
      <c r="K10" s="5"/>
      <c r="L10" s="9"/>
      <c r="M10" s="9"/>
      <c r="N10" s="9"/>
      <c r="O10" s="9"/>
      <c r="P10" s="9"/>
      <c r="Q10" s="9"/>
      <c r="R10" s="9"/>
      <c r="S10" s="9"/>
    </row>
    <row r="11" spans="1:19" x14ac:dyDescent="0.25">
      <c r="A11" s="4"/>
      <c r="B11" s="7"/>
      <c r="C11" s="7"/>
      <c r="D11" s="7"/>
      <c r="E11" s="7"/>
      <c r="F11" s="7"/>
      <c r="G11" s="7"/>
      <c r="H11" s="7"/>
      <c r="I11" s="10"/>
      <c r="J11" s="4"/>
      <c r="K11" s="5"/>
      <c r="L11" s="9"/>
      <c r="M11" s="9"/>
      <c r="N11" s="9"/>
      <c r="O11" s="9"/>
      <c r="P11" s="9"/>
      <c r="Q11" s="9"/>
      <c r="R11" s="9"/>
      <c r="S11" s="9"/>
    </row>
    <row r="12" spans="1:11" x14ac:dyDescent="0.25">
      <c r="A12" s="11"/>
      <c r="B12" s="12"/>
      <c r="C12" s="12"/>
      <c r="D12" s="12"/>
      <c r="E12" s="12"/>
      <c r="F12" s="12"/>
      <c r="G12" s="12"/>
      <c r="H12" s="12"/>
      <c r="I12" s="12"/>
      <c r="J12" s="11"/>
      <c r="K12" s="13"/>
    </row>
    <row r="13" spans="1:11" x14ac:dyDescent="0.25">
      <c r="A13" s="11" t="s">
        <v>22</v>
      </c>
      <c r="B13" s="12">
        <f>C13*9+E13*4+H13*4</f>
        <v>305</v>
      </c>
      <c r="C13" s="12">
        <v>5</v>
      </c>
      <c r="D13" s="12">
        <v>1</v>
      </c>
      <c r="E13" s="12">
        <v>60</v>
      </c>
      <c r="F13" s="12">
        <v>5</v>
      </c>
      <c r="G13" s="12">
        <v>0</v>
      </c>
      <c r="H13" s="12">
        <v>5</v>
      </c>
      <c r="I13" s="12">
        <v>1</v>
      </c>
      <c r="J13" s="11">
        <v>1</v>
      </c>
      <c r="K13" s="11" t="s">
        <v>23</v>
      </c>
    </row>
  </sheetData>
  <pageMargins left="0.7" right="0.7" top="0.75" bottom="0.75" header="0.3" footer="0.3"/>
  <pageSetup paperSize="1" orientation="defaul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X100"/>
  <sheetViews>
    <sheetView workbookViewId="0" zoomScale="100" zoomScaleNormal="100">
      <selection activeCell="A1" sqref="A1"/>
    </sheetView>
  </sheetViews>
  <sheetFormatPr defaultRowHeight="14.4" outlineLevelRow="0" outlineLevelCol="0" x14ac:dyDescent="0" customHeight="1"/>
  <cols>
    <col min="1" max="1" width="14" customWidth="1"/>
    <col min="2" max="2" width="24.21875" customWidth="1"/>
    <col min="12" max="12" width="38" customWidth="1"/>
  </cols>
  <sheetData>
    <row r="1" ht="28.799999237061" customHeight="1" spans="1:24" x14ac:dyDescent="0.25">
      <c r="A1" s="14" t="s">
        <v>24</v>
      </c>
      <c r="B1" s="15" t="s">
        <v>25</v>
      </c>
      <c r="C1" s="16" t="s">
        <v>1</v>
      </c>
      <c r="D1" s="16" t="s">
        <v>2</v>
      </c>
      <c r="E1" s="16" t="s">
        <v>3</v>
      </c>
      <c r="F1" s="16" t="s">
        <v>4</v>
      </c>
      <c r="G1" s="16" t="s">
        <v>5</v>
      </c>
      <c r="H1" s="16" t="s">
        <v>6</v>
      </c>
      <c r="I1" s="16" t="s">
        <v>7</v>
      </c>
      <c r="J1" s="16" t="s">
        <v>8</v>
      </c>
      <c r="L1" s="17" t="s">
        <v>26</v>
      </c>
      <c r="M1" s="18" t="s">
        <v>1</v>
      </c>
      <c r="N1" s="18" t="s">
        <v>2</v>
      </c>
      <c r="O1" s="18" t="s">
        <v>3</v>
      </c>
      <c r="P1" s="18" t="s">
        <v>4</v>
      </c>
      <c r="Q1" s="18" t="s">
        <v>5</v>
      </c>
      <c r="R1" s="18" t="s">
        <v>6</v>
      </c>
      <c r="S1" s="18" t="s">
        <v>7</v>
      </c>
      <c r="T1" s="18" t="s">
        <v>8</v>
      </c>
      <c r="U1" s="19" t="str">
        <f>"Voedingswaarden per 100 g"&amp;CHAR(10)&amp;"Energie: "&amp;ROUND(M2,0)&amp;" kcal"&amp;CHAR(10)&amp;"Vetten: "&amp;ROUND(N2,1)&amp;" g"&amp;CHAR(10)&amp;"waarvan verzadigde vetzuren: "&amp;ROUND(O2,1)&amp;" g"&amp;CHAR(10)&amp;"Koolhydraten: "&amp;ROUND(P2,1)&amp;" g"&amp;CHAR(10)&amp;"waarvan suikers: "&amp;ROUND(Q2,1)&amp;" g"&amp;CHAR(10)&amp;"Vezels: "&amp;ROUND(R2,1)&amp;" g"&amp;CHAR(10)&amp;"Eiwitten: "&amp;ROUND(S2,1)&amp;" g"&amp;CHAR(10)&amp;"Zout: "&amp;ROUND(T2,1)&amp;" g"</f>
        <v>Voedingswaarden per 100 g
Energie: 354 kcal
Vetten: 0.6 g
waarvan verzadigde vetzuren: 0 g
Koolhydraten: 80.4 g
waarvan suikers: 38.2 g
Vezels: 2.5 g
Eiwitten: 6 g
Zout: 19.5 g</v>
      </c>
      <c r="V1" s="20"/>
      <c r="W1" s="20"/>
      <c r="X1" s="21"/>
    </row>
    <row r="2" spans="1:24" x14ac:dyDescent="0.25">
      <c r="A2" s="22" t="s">
        <v>11</v>
      </c>
      <c r="B2" s="23">
        <v>0.0003</v>
      </c>
      <c r="C2" s="24">
        <f>IFERROR(_xlfn.XLOOKUP($A2,Database!$A$2:$A$100,Database!B$2:B$100)*$B2,0)</f>
        <v>0.0936</v>
      </c>
      <c r="D2" s="25">
        <f>IFERROR(_xlfn.XLOOKUP($A2,Database!$A$2:$A$100,Database!C$2:C$100)*$B2,0)</f>
        <v>0.0099</v>
      </c>
      <c r="E2" s="24">
        <f>IFERROR(_xlfn.XLOOKUP($A2,Database!$A$2:$A$100,Database!D$2:D$100)*$B2,0)</f>
        <v>0</v>
      </c>
      <c r="F2" s="24">
        <f>IFERROR(_xlfn.XLOOKUP($A2,Database!$A$2:$A$100,Database!E$2:E$100)*$B2,0)</f>
        <v>0.2013</v>
      </c>
      <c r="G2" s="24">
        <f>IFERROR(_xlfn.XLOOKUP($A2,Database!$A$2:$A$100,Database!F$2:F$100)*$B2,0)</f>
        <v>0.0096</v>
      </c>
      <c r="H2" s="24">
        <f>IFERROR(_xlfn.XLOOKUP($A2,Database!$A$2:$A$100,Database!G$2:G$100)*$B2,0)</f>
        <v>0.0681</v>
      </c>
      <c r="I2" s="24">
        <f>IFERROR(_xlfn.XLOOKUP($A2,Database!$A$2:$A$100,Database!H$2:H$100)*$B2,0)</f>
        <v>0.0291</v>
      </c>
      <c r="J2" s="24">
        <f>IFERROR(_xlfn.XLOOKUP($A2,Database!$A$2:$A$100,Database!I$2:I$100)*$B2,0)</f>
        <v>0.0021</v>
      </c>
      <c r="L2" s="26" t="str">
        <f>IF(ABS(SUM(B2:B100)-100%)&lt;0.0001,"Correct","Precentages moet 100% zijn")</f>
        <v>Correct</v>
      </c>
      <c r="M2" s="27">
        <f>SUM(C2:C100)</f>
        <v>354.47159999999997</v>
      </c>
      <c r="N2" s="27">
        <f>SUM(D2:D100)</f>
        <v>0.6096</v>
      </c>
      <c r="O2" s="27">
        <f>SUM(E2:E100)</f>
        <v>0</v>
      </c>
      <c r="P2" s="27">
        <f>SUM(F2:F100)</f>
        <v>80.4</v>
      </c>
      <c r="Q2" s="27">
        <f>SUM(G2:G100)</f>
        <v>38.22929999999999</v>
      </c>
      <c r="R2" s="27">
        <f>SUM(H2:H100)</f>
        <v>2.4669</v>
      </c>
      <c r="S2" s="27">
        <f>SUM(I2:I100)</f>
        <v>6.0261</v>
      </c>
      <c r="T2" s="28">
        <f>SUM(J2:J100)</f>
        <v>19.5021</v>
      </c>
      <c r="U2" s="29"/>
      <c r="V2" s="30"/>
      <c r="W2" s="30"/>
      <c r="X2" s="31"/>
    </row>
    <row r="3" spans="1:24" x14ac:dyDescent="0.25">
      <c r="A3" s="22" t="s">
        <v>18</v>
      </c>
      <c r="B3" s="32">
        <v>0.38</v>
      </c>
      <c r="C3" s="24">
        <f>IFERROR(_xlfn.XLOOKUP($A3,Database!$A$2:$A$100,Database!B$2:B$100)*$B3,0)</f>
        <v>150.48</v>
      </c>
      <c r="D3" s="24">
        <f>IFERROR(_xlfn.XLOOKUP($A3,Database!$A$2:$A$100,Database!C$2:C$100)*$B3,0)</f>
        <v>0</v>
      </c>
      <c r="E3" s="24">
        <f>IFERROR(_xlfn.XLOOKUP($A3,Database!$A$2:$A$100,Database!D$2:D$100)*$B3,0)</f>
        <v>0</v>
      </c>
      <c r="F3" s="24">
        <f>IFERROR(_xlfn.XLOOKUP($A3,Database!$A$2:$A$100,Database!E$2:E$100)*$B3,0)</f>
        <v>37.62</v>
      </c>
      <c r="G3" s="24">
        <f>IFERROR(_xlfn.XLOOKUP($A3,Database!$A$2:$A$100,Database!F$2:F$100)*$B3,0)</f>
        <v>37.62</v>
      </c>
      <c r="H3" s="24">
        <f>IFERROR(_xlfn.XLOOKUP($A3,Database!$A$2:$A$100,Database!G$2:G$100)*$B3,0)</f>
        <v>0</v>
      </c>
      <c r="I3" s="24">
        <f>IFERROR(_xlfn.XLOOKUP($A3,Database!$A$2:$A$100,Database!H$2:H$100)*$B3,0)</f>
        <v>0</v>
      </c>
      <c r="J3" s="24">
        <f>IFERROR(_xlfn.XLOOKUP($A3,Database!$A$2:$A$100,Database!I$2:I$100)*$B3,0)</f>
        <v>0</v>
      </c>
      <c r="U3" s="29"/>
      <c r="V3" s="30"/>
      <c r="W3" s="30"/>
      <c r="X3" s="31"/>
    </row>
    <row r="4" spans="1:24" x14ac:dyDescent="0.25">
      <c r="A4" s="22" t="s">
        <v>19</v>
      </c>
      <c r="B4" s="32">
        <v>0.02</v>
      </c>
      <c r="C4" s="24">
        <f>IFERROR(_xlfn.XLOOKUP($A4,Database!$A$2:$A$100,Database!B$2:B$100)*$B4,0)</f>
        <v>0</v>
      </c>
      <c r="D4" s="24">
        <f>IFERROR(_xlfn.XLOOKUP($A4,Database!$A$2:$A$100,Database!C$2:C$100)*$B4,0)</f>
        <v>0</v>
      </c>
      <c r="E4" s="24">
        <f>IFERROR(_xlfn.XLOOKUP($A4,Database!$A$2:$A$100,Database!D$2:D$100)*$B4,0)</f>
        <v>0</v>
      </c>
      <c r="F4" s="24">
        <f>IFERROR(_xlfn.XLOOKUP($A4,Database!$A$2:$A$100,Database!E$2:E$100)*$B4,0)</f>
        <v>0</v>
      </c>
      <c r="G4" s="24">
        <f>IFERROR(_xlfn.XLOOKUP($A4,Database!$A$2:$A$100,Database!F$2:F$100)*$B4,0)</f>
        <v>0</v>
      </c>
      <c r="H4" s="24">
        <f>IFERROR(_xlfn.XLOOKUP($A4,Database!$A$2:$A$100,Database!G$2:G$100)*$B4,0)</f>
        <v>0</v>
      </c>
      <c r="I4" s="24">
        <f>IFERROR(_xlfn.XLOOKUP($A4,Database!$A$2:$A$100,Database!H$2:H$100)*$B4,0)</f>
        <v>0</v>
      </c>
      <c r="J4" s="24">
        <f>IFERROR(_xlfn.XLOOKUP($A4,Database!$A$2:$A$100,Database!I$2:I$100)*$B4,0)</f>
        <v>19.5</v>
      </c>
      <c r="U4" s="29"/>
      <c r="V4" s="30"/>
      <c r="W4" s="30"/>
      <c r="X4" s="31"/>
    </row>
    <row r="5" spans="1:24" x14ac:dyDescent="0.25">
      <c r="A5" s="22" t="s">
        <v>21</v>
      </c>
      <c r="B5" s="23">
        <v>0.5997</v>
      </c>
      <c r="C5" s="24">
        <f>IFERROR(_xlfn.XLOOKUP($A5,Database!$A$2:$A$100,Database!B$2:B$100)*$B5,0)</f>
        <v>203.898</v>
      </c>
      <c r="D5" s="24">
        <f>IFERROR(_xlfn.XLOOKUP($A5,Database!$A$2:$A$100,Database!C$2:C$100)*$B5,0)</f>
        <v>0.5997</v>
      </c>
      <c r="E5" s="24">
        <f>IFERROR(_xlfn.XLOOKUP($A5,Database!$A$2:$A$100,Database!D$2:D$100)*$B5,0)</f>
        <v>0</v>
      </c>
      <c r="F5" s="24">
        <f>IFERROR(_xlfn.XLOOKUP($A5,Database!$A$2:$A$100,Database!E$2:E$100)*$B5,0)</f>
        <v>42.5787</v>
      </c>
      <c r="G5" s="24">
        <f>IFERROR(_xlfn.XLOOKUP($A5,Database!$A$2:$A$100,Database!F$2:F$100)*$B5,0)</f>
        <v>0.5997</v>
      </c>
      <c r="H5" s="24">
        <f>IFERROR(_xlfn.XLOOKUP($A5,Database!$A$2:$A$100,Database!G$2:G$100)*$B5,0)</f>
        <v>2.3988</v>
      </c>
      <c r="I5" s="24">
        <f>IFERROR(_xlfn.XLOOKUP($A5,Database!$A$2:$A$100,Database!H$2:H$100)*$B5,0)</f>
        <v>5.997</v>
      </c>
      <c r="J5" s="24">
        <f>IFERROR(_xlfn.XLOOKUP($A5,Database!$A$2:$A$100,Database!I$2:I$100)*$B5,0)</f>
        <v>0</v>
      </c>
      <c r="U5" s="29"/>
      <c r="V5" s="30"/>
      <c r="W5" s="30"/>
      <c r="X5" s="31"/>
    </row>
    <row r="6" spans="1:24" x14ac:dyDescent="0.25">
      <c r="A6" s="22"/>
      <c r="B6" s="33"/>
      <c r="C6" s="24">
        <f>IFERROR(_xlfn.XLOOKUP($A6,Database!$A$2:$A$100,Database!B$2:B$100)*$B6,0)</f>
        <v>0</v>
      </c>
      <c r="D6" s="24">
        <f>IFERROR(_xlfn.XLOOKUP($A6,Database!$A$2:$A$100,Database!C$2:C$100)*$B6,0)</f>
        <v>0</v>
      </c>
      <c r="E6" s="24">
        <f>IFERROR(_xlfn.XLOOKUP($A6,Database!$A$2:$A$100,Database!D$2:D$100)*$B6,0)</f>
        <v>0</v>
      </c>
      <c r="F6" s="24">
        <f>IFERROR(_xlfn.XLOOKUP($A6,Database!$A$2:$A$100,Database!E$2:E$100)*$B6,0)</f>
        <v>0</v>
      </c>
      <c r="G6" s="24">
        <f>IFERROR(_xlfn.XLOOKUP($A6,Database!$A$2:$A$100,Database!F$2:F$100)*$B6,0)</f>
        <v>0</v>
      </c>
      <c r="H6" s="24">
        <f>IFERROR(_xlfn.XLOOKUP($A6,Database!$A$2:$A$100,Database!G$2:G$100)*$B6,0)</f>
        <v>0</v>
      </c>
      <c r="I6" s="24">
        <f>IFERROR(_xlfn.XLOOKUP($A6,Database!$A$2:$A$100,Database!H$2:H$100)*$B6,0)</f>
        <v>0</v>
      </c>
      <c r="J6" s="24">
        <f>IFERROR(_xlfn.XLOOKUP($A6,Database!$A$2:$A$100,Database!I$2:I$100)*$B6,0)</f>
        <v>0</v>
      </c>
      <c r="U6" s="29"/>
      <c r="V6" s="30"/>
      <c r="W6" s="30"/>
      <c r="X6" s="31"/>
    </row>
    <row r="7" spans="1:24" x14ac:dyDescent="0.25">
      <c r="A7" s="22"/>
      <c r="B7" s="33"/>
      <c r="C7" s="24">
        <f>IFERROR(_xlfn.XLOOKUP($A7,Database!$A$2:$A$100,Database!B$2:B$100)*$B7,0)</f>
        <v>0</v>
      </c>
      <c r="D7" s="24">
        <f>IFERROR(_xlfn.XLOOKUP($A7,Database!$A$2:$A$100,Database!C$2:C$100)*$B7,0)</f>
        <v>0</v>
      </c>
      <c r="E7" s="24">
        <f>IFERROR(_xlfn.XLOOKUP($A7,Database!$A$2:$A$100,Database!D$2:D$100)*$B7,0)</f>
        <v>0</v>
      </c>
      <c r="F7" s="24">
        <f>IFERROR(_xlfn.XLOOKUP($A7,Database!$A$2:$A$100,Database!E$2:E$100)*$B7,0)</f>
        <v>0</v>
      </c>
      <c r="G7" s="24">
        <f>IFERROR(_xlfn.XLOOKUP($A7,Database!$A$2:$A$100,Database!F$2:F$100)*$B7,0)</f>
        <v>0</v>
      </c>
      <c r="H7" s="24">
        <f>IFERROR(_xlfn.XLOOKUP($A7,Database!$A$2:$A$100,Database!G$2:G$100)*$B7,0)</f>
        <v>0</v>
      </c>
      <c r="I7" s="24">
        <f>IFERROR(_xlfn.XLOOKUP($A7,Database!$A$2:$A$100,Database!H$2:H$100)*$B7,0)</f>
        <v>0</v>
      </c>
      <c r="J7" s="24">
        <f>IFERROR(_xlfn.XLOOKUP($A7,Database!$A$2:$A$100,Database!I$2:I$100)*$B7,0)</f>
        <v>0</v>
      </c>
      <c r="U7" s="29"/>
      <c r="V7" s="30"/>
      <c r="W7" s="30"/>
      <c r="X7" s="31"/>
    </row>
    <row r="8" spans="1:24" x14ac:dyDescent="0.25">
      <c r="A8" s="22"/>
      <c r="B8" s="33"/>
      <c r="C8" s="24">
        <f>IFERROR(_xlfn.XLOOKUP($A8,Database!$A$2:$A$100,Database!B$2:B$100)*$B8,0)</f>
        <v>0</v>
      </c>
      <c r="D8" s="24">
        <f>IFERROR(_xlfn.XLOOKUP($A8,Database!$A$2:$A$100,Database!C$2:C$100)*$B8,0)</f>
        <v>0</v>
      </c>
      <c r="E8" s="24">
        <f>IFERROR(_xlfn.XLOOKUP($A8,Database!$A$2:$A$100,Database!D$2:D$100)*$B8,0)</f>
        <v>0</v>
      </c>
      <c r="F8" s="24">
        <f>IFERROR(_xlfn.XLOOKUP($A8,Database!$A$2:$A$100,Database!E$2:E$100)*$B8,0)</f>
        <v>0</v>
      </c>
      <c r="G8" s="24">
        <f>IFERROR(_xlfn.XLOOKUP($A8,Database!$A$2:$A$100,Database!F$2:F$100)*$B8,0)</f>
        <v>0</v>
      </c>
      <c r="H8" s="24">
        <f>IFERROR(_xlfn.XLOOKUP($A8,Database!$A$2:$A$100,Database!G$2:G$100)*$B8,0)</f>
        <v>0</v>
      </c>
      <c r="I8" s="24">
        <f>IFERROR(_xlfn.XLOOKUP($A8,Database!$A$2:$A$100,Database!H$2:H$100)*$B8,0)</f>
        <v>0</v>
      </c>
      <c r="J8" s="24">
        <f>IFERROR(_xlfn.XLOOKUP($A8,Database!$A$2:$A$100,Database!I$2:I$100)*$B8,0)</f>
        <v>0</v>
      </c>
      <c r="U8" s="29"/>
      <c r="V8" s="30"/>
      <c r="W8" s="30"/>
      <c r="X8" s="31"/>
    </row>
    <row r="9" spans="1:24" x14ac:dyDescent="0.25">
      <c r="A9" s="22"/>
      <c r="B9" s="33"/>
      <c r="C9" s="24">
        <f>IFERROR(_xlfn.XLOOKUP($A9,Database!$A$2:$A$100,Database!B$2:B$100)*$B9,0)</f>
        <v>0</v>
      </c>
      <c r="D9" s="24">
        <f>IFERROR(_xlfn.XLOOKUP($A9,Database!$A$2:$A$100,Database!C$2:C$100)*$B9,0)</f>
        <v>0</v>
      </c>
      <c r="E9" s="24">
        <f>IFERROR(_xlfn.XLOOKUP($A9,Database!$A$2:$A$100,Database!D$2:D$100)*$B9,0)</f>
        <v>0</v>
      </c>
      <c r="F9" s="24">
        <f>IFERROR(_xlfn.XLOOKUP($A9,Database!$A$2:$A$100,Database!E$2:E$100)*$B9,0)</f>
        <v>0</v>
      </c>
      <c r="G9" s="24">
        <f>IFERROR(_xlfn.XLOOKUP($A9,Database!$A$2:$A$100,Database!F$2:F$100)*$B9,0)</f>
        <v>0</v>
      </c>
      <c r="H9" s="24">
        <f>IFERROR(_xlfn.XLOOKUP($A9,Database!$A$2:$A$100,Database!G$2:G$100)*$B9,0)</f>
        <v>0</v>
      </c>
      <c r="I9" s="24">
        <f>IFERROR(_xlfn.XLOOKUP($A9,Database!$A$2:$A$100,Database!H$2:H$100)*$B9,0)</f>
        <v>0</v>
      </c>
      <c r="J9" s="24">
        <f>IFERROR(_xlfn.XLOOKUP($A9,Database!$A$2:$A$100,Database!I$2:I$100)*$B9,0)</f>
        <v>0</v>
      </c>
      <c r="U9" s="34"/>
      <c r="V9" s="35"/>
      <c r="W9" s="35"/>
      <c r="X9" s="36"/>
    </row>
    <row r="10" ht="18" customHeight="1" spans="1:10" x14ac:dyDescent="0.25">
      <c r="A10" s="22"/>
      <c r="B10" s="33"/>
      <c r="C10" s="24">
        <f>IFERROR(_xlfn.XLOOKUP($A10,Database!$A$2:$A$100,Database!B$2:B$100)*$B10,0)</f>
        <v>0</v>
      </c>
      <c r="D10" s="24">
        <f>IFERROR(_xlfn.XLOOKUP($A10,Database!$A$2:$A$100,Database!C$2:C$100)*$B10,0)</f>
        <v>0</v>
      </c>
      <c r="E10" s="24">
        <f>IFERROR(_xlfn.XLOOKUP($A10,Database!$A$2:$A$100,Database!D$2:D$100)*$B10,0)</f>
        <v>0</v>
      </c>
      <c r="F10" s="24">
        <f>IFERROR(_xlfn.XLOOKUP($A10,Database!$A$2:$A$100,Database!E$2:E$100)*$B10,0)</f>
        <v>0</v>
      </c>
      <c r="G10" s="24">
        <f>IFERROR(_xlfn.XLOOKUP($A10,Database!$A$2:$A$100,Database!F$2:F$100)*$B10,0)</f>
        <v>0</v>
      </c>
      <c r="H10" s="24">
        <f>IFERROR(_xlfn.XLOOKUP($A10,Database!$A$2:$A$100,Database!G$2:G$100)*$B10,0)</f>
        <v>0</v>
      </c>
      <c r="I10" s="24">
        <f>IFERROR(_xlfn.XLOOKUP($A10,Database!$A$2:$A$100,Database!H$2:H$100)*$B10,0)</f>
        <v>0</v>
      </c>
      <c r="J10" s="24">
        <f>IFERROR(_xlfn.XLOOKUP($A10,Database!$A$2:$A$100,Database!I$2:I$100)*$B10,0)</f>
        <v>0</v>
      </c>
    </row>
    <row r="11" spans="1:10" x14ac:dyDescent="0.25">
      <c r="A11" s="22"/>
      <c r="B11" s="33"/>
      <c r="C11" s="24">
        <f>IFERROR(_xlfn.XLOOKUP($A11,Database!$A$2:$A$100,Database!B$2:B$100)*$B11,0)</f>
        <v>0</v>
      </c>
      <c r="D11" s="24">
        <f>IFERROR(_xlfn.XLOOKUP($A11,Database!$A$2:$A$100,Database!C$2:C$100)*$B11,0)</f>
        <v>0</v>
      </c>
      <c r="E11" s="24">
        <f>IFERROR(_xlfn.XLOOKUP($A11,Database!$A$2:$A$100,Database!D$2:D$100)*$B11,0)</f>
        <v>0</v>
      </c>
      <c r="F11" s="24">
        <f>IFERROR(_xlfn.XLOOKUP($A11,Database!$A$2:$A$100,Database!E$2:E$100)*$B11,0)</f>
        <v>0</v>
      </c>
      <c r="G11" s="24">
        <f>IFERROR(_xlfn.XLOOKUP($A11,Database!$A$2:$A$100,Database!F$2:F$100)*$B11,0)</f>
        <v>0</v>
      </c>
      <c r="H11" s="24">
        <f>IFERROR(_xlfn.XLOOKUP($A11,Database!$A$2:$A$100,Database!G$2:G$100)*$B11,0)</f>
        <v>0</v>
      </c>
      <c r="I11" s="24">
        <f>IFERROR(_xlfn.XLOOKUP($A11,Database!$A$2:$A$100,Database!H$2:H$100)*$B11,0)</f>
        <v>0</v>
      </c>
      <c r="J11" s="24">
        <f>IFERROR(_xlfn.XLOOKUP($A11,Database!$A$2:$A$100,Database!I$2:I$100)*$B11,0)</f>
        <v>0</v>
      </c>
    </row>
    <row r="12" spans="1:13" x14ac:dyDescent="0.25">
      <c r="A12" s="22"/>
      <c r="B12" s="33"/>
      <c r="C12" s="24">
        <f>IFERROR(_xlfn.XLOOKUP($A12,Database!$A$2:$A$100,Database!B$2:B$100)*$B12,0)</f>
        <v>0</v>
      </c>
      <c r="D12" s="24">
        <f>IFERROR(_xlfn.XLOOKUP($A12,Database!$A$2:$A$100,Database!C$2:C$100)*$B12,0)</f>
        <v>0</v>
      </c>
      <c r="E12" s="24">
        <f>IFERROR(_xlfn.XLOOKUP($A12,Database!$A$2:$A$100,Database!D$2:D$100)*$B12,0)</f>
        <v>0</v>
      </c>
      <c r="F12" s="24">
        <f>IFERROR(_xlfn.XLOOKUP($A12,Database!$A$2:$A$100,Database!E$2:E$100)*$B12,0)</f>
        <v>0</v>
      </c>
      <c r="G12" s="24">
        <f>IFERROR(_xlfn.XLOOKUP($A12,Database!$A$2:$A$100,Database!F$2:F$100)*$B12,0)</f>
        <v>0</v>
      </c>
      <c r="H12" s="24">
        <f>IFERROR(_xlfn.XLOOKUP($A12,Database!$A$2:$A$100,Database!G$2:G$100)*$B12,0)</f>
        <v>0</v>
      </c>
      <c r="I12" s="24">
        <f>IFERROR(_xlfn.XLOOKUP($A12,Database!$A$2:$A$100,Database!H$2:H$100)*$B12,0)</f>
        <v>0</v>
      </c>
      <c r="J12" s="24">
        <f>IFERROR(_xlfn.XLOOKUP($A12,Database!$A$2:$A$100,Database!I$2:I$100)*$B12,0)</f>
        <v>0</v>
      </c>
      <c r="L12" s="37"/>
      <c r="M12" s="9"/>
    </row>
    <row r="13" spans="1:13" x14ac:dyDescent="0.25">
      <c r="A13" s="22"/>
      <c r="B13" s="33"/>
      <c r="C13" s="24">
        <f>IFERROR(_xlfn.XLOOKUP($A13,Database!$A$2:$A$100,Database!B$2:B$100)*$B13,0)</f>
        <v>0</v>
      </c>
      <c r="D13" s="24">
        <f>IFERROR(_xlfn.XLOOKUP($A13,Database!$A$2:$A$100,Database!C$2:C$100)*$B13,0)</f>
        <v>0</v>
      </c>
      <c r="E13" s="24">
        <f>IFERROR(_xlfn.XLOOKUP($A13,Database!$A$2:$A$100,Database!D$2:D$100)*$B13,0)</f>
        <v>0</v>
      </c>
      <c r="F13" s="24">
        <f>IFERROR(_xlfn.XLOOKUP($A13,Database!$A$2:$A$100,Database!E$2:E$100)*$B13,0)</f>
        <v>0</v>
      </c>
      <c r="G13" s="24">
        <f>IFERROR(_xlfn.XLOOKUP($A13,Database!$A$2:$A$100,Database!F$2:F$100)*$B13,0)</f>
        <v>0</v>
      </c>
      <c r="H13" s="24">
        <f>IFERROR(_xlfn.XLOOKUP($A13,Database!$A$2:$A$100,Database!G$2:G$100)*$B13,0)</f>
        <v>0</v>
      </c>
      <c r="I13" s="24">
        <f>IFERROR(_xlfn.XLOOKUP($A13,Database!$A$2:$A$100,Database!H$2:H$100)*$B13,0)</f>
        <v>0</v>
      </c>
      <c r="J13" s="24">
        <f>IFERROR(_xlfn.XLOOKUP($A13,Database!$A$2:$A$100,Database!I$2:I$100)*$B13,0)</f>
        <v>0</v>
      </c>
      <c r="L13" s="38"/>
      <c r="M13" s="39"/>
    </row>
    <row r="14" spans="1:13" x14ac:dyDescent="0.25">
      <c r="A14" s="22"/>
      <c r="B14" s="33"/>
      <c r="C14" s="24">
        <f>IFERROR(_xlfn.XLOOKUP($A14,Database!$A$2:$A$100,Database!B$2:B$100)*$B14,0)</f>
        <v>0</v>
      </c>
      <c r="D14" s="24">
        <f>IFERROR(_xlfn.XLOOKUP($A14,Database!$A$2:$A$100,Database!C$2:C$100)*$B14,0)</f>
        <v>0</v>
      </c>
      <c r="E14" s="24">
        <f>IFERROR(_xlfn.XLOOKUP($A14,Database!$A$2:$A$100,Database!D$2:D$100)*$B14,0)</f>
        <v>0</v>
      </c>
      <c r="F14" s="24">
        <f>IFERROR(_xlfn.XLOOKUP($A14,Database!$A$2:$A$100,Database!E$2:E$100)*$B14,0)</f>
        <v>0</v>
      </c>
      <c r="G14" s="24">
        <f>IFERROR(_xlfn.XLOOKUP($A14,Database!$A$2:$A$100,Database!F$2:F$100)*$B14,0)</f>
        <v>0</v>
      </c>
      <c r="H14" s="24">
        <f>IFERROR(_xlfn.XLOOKUP($A14,Database!$A$2:$A$100,Database!G$2:G$100)*$B14,0)</f>
        <v>0</v>
      </c>
      <c r="I14" s="24">
        <f>IFERROR(_xlfn.XLOOKUP($A14,Database!$A$2:$A$100,Database!H$2:H$100)*$B14,0)</f>
        <v>0</v>
      </c>
      <c r="J14" s="24">
        <f>IFERROR(_xlfn.XLOOKUP($A14,Database!$A$2:$A$100,Database!I$2:I$100)*$B14,0)</f>
        <v>0</v>
      </c>
      <c r="L14" s="38"/>
      <c r="M14" s="40"/>
    </row>
    <row r="15" spans="1:13" x14ac:dyDescent="0.25">
      <c r="A15" s="22"/>
      <c r="B15" s="33"/>
      <c r="C15" s="24">
        <f>IFERROR(_xlfn.XLOOKUP($A15,Database!$A$2:$A$100,Database!B$2:B$100)*$B15,0)</f>
        <v>0</v>
      </c>
      <c r="D15" s="24">
        <f>IFERROR(_xlfn.XLOOKUP($A15,Database!$A$2:$A$100,Database!C$2:C$100)*$B15,0)</f>
        <v>0</v>
      </c>
      <c r="E15" s="24">
        <f>IFERROR(_xlfn.XLOOKUP($A15,Database!$A$2:$A$100,Database!D$2:D$100)*$B15,0)</f>
        <v>0</v>
      </c>
      <c r="F15" s="24">
        <f>IFERROR(_xlfn.XLOOKUP($A15,Database!$A$2:$A$100,Database!E$2:E$100)*$B15,0)</f>
        <v>0</v>
      </c>
      <c r="G15" s="24">
        <f>IFERROR(_xlfn.XLOOKUP($A15,Database!$A$2:$A$100,Database!F$2:F$100)*$B15,0)</f>
        <v>0</v>
      </c>
      <c r="H15" s="24">
        <f>IFERROR(_xlfn.XLOOKUP($A15,Database!$A$2:$A$100,Database!G$2:G$100)*$B15,0)</f>
        <v>0</v>
      </c>
      <c r="I15" s="24">
        <f>IFERROR(_xlfn.XLOOKUP($A15,Database!$A$2:$A$100,Database!H$2:H$100)*$B15,0)</f>
        <v>0</v>
      </c>
      <c r="J15" s="24">
        <f>IFERROR(_xlfn.XLOOKUP($A15,Database!$A$2:$A$100,Database!I$2:I$100)*$B15,0)</f>
        <v>0</v>
      </c>
      <c r="L15" s="38"/>
      <c r="M15" s="40"/>
    </row>
    <row r="16" spans="1:16" x14ac:dyDescent="0.25">
      <c r="A16" s="22"/>
      <c r="B16" s="33"/>
      <c r="C16" s="24">
        <f>IFERROR(_xlfn.XLOOKUP($A16,Database!$A$2:$A$100,Database!B$2:B$100)*$B16,0)</f>
        <v>0</v>
      </c>
      <c r="D16" s="24">
        <f>IFERROR(_xlfn.XLOOKUP($A16,Database!$A$2:$A$100,Database!C$2:C$100)*$B16,0)</f>
        <v>0</v>
      </c>
      <c r="E16" s="24">
        <f>IFERROR(_xlfn.XLOOKUP($A16,Database!$A$2:$A$100,Database!D$2:D$100)*$B16,0)</f>
        <v>0</v>
      </c>
      <c r="F16" s="24">
        <f>IFERROR(_xlfn.XLOOKUP($A16,Database!$A$2:$A$100,Database!E$2:E$100)*$B16,0)</f>
        <v>0</v>
      </c>
      <c r="G16" s="24">
        <f>IFERROR(_xlfn.XLOOKUP($A16,Database!$A$2:$A$100,Database!F$2:F$100)*$B16,0)</f>
        <v>0</v>
      </c>
      <c r="H16" s="24">
        <f>IFERROR(_xlfn.XLOOKUP($A16,Database!$A$2:$A$100,Database!G$2:G$100)*$B16,0)</f>
        <v>0</v>
      </c>
      <c r="I16" s="24">
        <f>IFERROR(_xlfn.XLOOKUP($A16,Database!$A$2:$A$100,Database!H$2:H$100)*$B16,0)</f>
        <v>0</v>
      </c>
      <c r="J16" s="24">
        <f>IFERROR(_xlfn.XLOOKUP($A16,Database!$A$2:$A$100,Database!I$2:I$100)*$B16,0)</f>
        <v>0</v>
      </c>
      <c r="L16" s="38"/>
      <c r="M16" s="39"/>
      <c r="O16" s="37"/>
      <c r="P16" s="9"/>
    </row>
    <row r="17" spans="1:16" x14ac:dyDescent="0.25">
      <c r="A17" s="22"/>
      <c r="B17" s="33"/>
      <c r="C17" s="24">
        <f>IFERROR(_xlfn.XLOOKUP($A17,Database!$A$2:$A$100,Database!B$2:B$100)*$B17,0)</f>
        <v>0</v>
      </c>
      <c r="D17" s="24">
        <f>IFERROR(_xlfn.XLOOKUP($A17,Database!$A$2:$A$100,Database!C$2:C$100)*$B17,0)</f>
        <v>0</v>
      </c>
      <c r="E17" s="24">
        <f>IFERROR(_xlfn.XLOOKUP($A17,Database!$A$2:$A$100,Database!D$2:D$100)*$B17,0)</f>
        <v>0</v>
      </c>
      <c r="F17" s="24">
        <f>IFERROR(_xlfn.XLOOKUP($A17,Database!$A$2:$A$100,Database!E$2:E$100)*$B17,0)</f>
        <v>0</v>
      </c>
      <c r="G17" s="24">
        <f>IFERROR(_xlfn.XLOOKUP($A17,Database!$A$2:$A$100,Database!F$2:F$100)*$B17,0)</f>
        <v>0</v>
      </c>
      <c r="H17" s="24">
        <f>IFERROR(_xlfn.XLOOKUP($A17,Database!$A$2:$A$100,Database!G$2:G$100)*$B17,0)</f>
        <v>0</v>
      </c>
      <c r="I17" s="24">
        <f>IFERROR(_xlfn.XLOOKUP($A17,Database!$A$2:$A$100,Database!H$2:H$100)*$B17,0)</f>
        <v>0</v>
      </c>
      <c r="J17" s="24">
        <f>IFERROR(_xlfn.XLOOKUP($A17,Database!$A$2:$A$100,Database!I$2:I$100)*$B17,0)</f>
        <v>0</v>
      </c>
      <c r="O17" s="38"/>
      <c r="P17" s="9"/>
    </row>
    <row r="18" spans="1:16" x14ac:dyDescent="0.25">
      <c r="A18" s="22"/>
      <c r="B18" s="33"/>
      <c r="C18" s="24">
        <f>IFERROR(_xlfn.XLOOKUP($A18,Database!$A$2:$A$100,Database!B$2:B$100)*$B18,0)</f>
        <v>0</v>
      </c>
      <c r="D18" s="24">
        <f>IFERROR(_xlfn.XLOOKUP($A18,Database!$A$2:$A$100,Database!C$2:C$100)*$B18,0)</f>
        <v>0</v>
      </c>
      <c r="E18" s="24">
        <f>IFERROR(_xlfn.XLOOKUP($A18,Database!$A$2:$A$100,Database!D$2:D$100)*$B18,0)</f>
        <v>0</v>
      </c>
      <c r="F18" s="24">
        <f>IFERROR(_xlfn.XLOOKUP($A18,Database!$A$2:$A$100,Database!E$2:E$100)*$B18,0)</f>
        <v>0</v>
      </c>
      <c r="G18" s="24">
        <f>IFERROR(_xlfn.XLOOKUP($A18,Database!$A$2:$A$100,Database!F$2:F$100)*$B18,0)</f>
        <v>0</v>
      </c>
      <c r="H18" s="24">
        <f>IFERROR(_xlfn.XLOOKUP($A18,Database!$A$2:$A$100,Database!G$2:G$100)*$B18,0)</f>
        <v>0</v>
      </c>
      <c r="I18" s="24">
        <f>IFERROR(_xlfn.XLOOKUP($A18,Database!$A$2:$A$100,Database!H$2:H$100)*$B18,0)</f>
        <v>0</v>
      </c>
      <c r="J18" s="24">
        <f>IFERROR(_xlfn.XLOOKUP($A18,Database!$A$2:$A$100,Database!I$2:I$100)*$B18,0)</f>
        <v>0</v>
      </c>
      <c r="O18" s="38"/>
      <c r="P18" s="40"/>
    </row>
    <row r="19" spans="1:16" x14ac:dyDescent="0.25">
      <c r="A19" s="22"/>
      <c r="B19" s="33"/>
      <c r="C19" s="24">
        <f>IFERROR(_xlfn.XLOOKUP($A19,Database!$A$2:$A$100,Database!B$2:B$100)*$B19,0)</f>
        <v>0</v>
      </c>
      <c r="D19" s="24">
        <f>IFERROR(_xlfn.XLOOKUP($A19,Database!$A$2:$A$100,Database!C$2:C$100)*$B19,0)</f>
        <v>0</v>
      </c>
      <c r="E19" s="24">
        <f>IFERROR(_xlfn.XLOOKUP($A19,Database!$A$2:$A$100,Database!D$2:D$100)*$B19,0)</f>
        <v>0</v>
      </c>
      <c r="F19" s="24">
        <f>IFERROR(_xlfn.XLOOKUP($A19,Database!$A$2:$A$100,Database!E$2:E$100)*$B19,0)</f>
        <v>0</v>
      </c>
      <c r="G19" s="24">
        <f>IFERROR(_xlfn.XLOOKUP($A19,Database!$A$2:$A$100,Database!F$2:F$100)*$B19,0)</f>
        <v>0</v>
      </c>
      <c r="H19" s="24">
        <f>IFERROR(_xlfn.XLOOKUP($A19,Database!$A$2:$A$100,Database!G$2:G$100)*$B19,0)</f>
        <v>0</v>
      </c>
      <c r="I19" s="24">
        <f>IFERROR(_xlfn.XLOOKUP($A19,Database!$A$2:$A$100,Database!H$2:H$100)*$B19,0)</f>
        <v>0</v>
      </c>
      <c r="J19" s="24">
        <f>IFERROR(_xlfn.XLOOKUP($A19,Database!$A$2:$A$100,Database!I$2:I$100)*$B19,0)</f>
        <v>0</v>
      </c>
      <c r="O19" s="38"/>
      <c r="P19" s="40"/>
    </row>
    <row r="20" spans="1:16" x14ac:dyDescent="0.25">
      <c r="A20" s="22"/>
      <c r="B20" s="33"/>
      <c r="C20" s="24">
        <f>IFERROR(_xlfn.XLOOKUP($A20,Database!$A$2:$A$100,Database!B$2:B$100)*$B20,0)</f>
        <v>0</v>
      </c>
      <c r="D20" s="24">
        <f>IFERROR(_xlfn.XLOOKUP($A20,Database!$A$2:$A$100,Database!C$2:C$100)*$B20,0)</f>
        <v>0</v>
      </c>
      <c r="E20" s="24">
        <f>IFERROR(_xlfn.XLOOKUP($A20,Database!$A$2:$A$100,Database!D$2:D$100)*$B20,0)</f>
        <v>0</v>
      </c>
      <c r="F20" s="24">
        <f>IFERROR(_xlfn.XLOOKUP($A20,Database!$A$2:$A$100,Database!E$2:E$100)*$B20,0)</f>
        <v>0</v>
      </c>
      <c r="G20" s="24">
        <f>IFERROR(_xlfn.XLOOKUP($A20,Database!$A$2:$A$100,Database!F$2:F$100)*$B20,0)</f>
        <v>0</v>
      </c>
      <c r="H20" s="24">
        <f>IFERROR(_xlfn.XLOOKUP($A20,Database!$A$2:$A$100,Database!G$2:G$100)*$B20,0)</f>
        <v>0</v>
      </c>
      <c r="I20" s="24">
        <f>IFERROR(_xlfn.XLOOKUP($A20,Database!$A$2:$A$100,Database!H$2:H$100)*$B20,0)</f>
        <v>0</v>
      </c>
      <c r="J20" s="24">
        <f>IFERROR(_xlfn.XLOOKUP($A20,Database!$A$2:$A$100,Database!I$2:I$100)*$B20,0)</f>
        <v>0</v>
      </c>
      <c r="O20" s="38"/>
      <c r="P20" s="9"/>
    </row>
    <row r="21" spans="1:10" x14ac:dyDescent="0.25">
      <c r="A21" s="22"/>
      <c r="B21" s="33"/>
      <c r="C21" s="24">
        <f>IFERROR(_xlfn.XLOOKUP($A21,Database!$A$2:$A$100,Database!B$2:B$100)*$B21,0)</f>
        <v>0</v>
      </c>
      <c r="D21" s="24">
        <f>IFERROR(_xlfn.XLOOKUP($A21,Database!$A$2:$A$100,Database!C$2:C$100)*$B21,0)</f>
        <v>0</v>
      </c>
      <c r="E21" s="24">
        <f>IFERROR(_xlfn.XLOOKUP($A21,Database!$A$2:$A$100,Database!D$2:D$100)*$B21,0)</f>
        <v>0</v>
      </c>
      <c r="F21" s="24">
        <f>IFERROR(_xlfn.XLOOKUP($A21,Database!$A$2:$A$100,Database!E$2:E$100)*$B21,0)</f>
        <v>0</v>
      </c>
      <c r="G21" s="24">
        <f>IFERROR(_xlfn.XLOOKUP($A21,Database!$A$2:$A$100,Database!F$2:F$100)*$B21,0)</f>
        <v>0</v>
      </c>
      <c r="H21" s="24">
        <f>IFERROR(_xlfn.XLOOKUP($A21,Database!$A$2:$A$100,Database!G$2:G$100)*$B21,0)</f>
        <v>0</v>
      </c>
      <c r="I21" s="24">
        <f>IFERROR(_xlfn.XLOOKUP($A21,Database!$A$2:$A$100,Database!H$2:H$100)*$B21,0)</f>
        <v>0</v>
      </c>
      <c r="J21" s="24">
        <f>IFERROR(_xlfn.XLOOKUP($A21,Database!$A$2:$A$100,Database!I$2:I$100)*$B21,0)</f>
        <v>0</v>
      </c>
    </row>
    <row r="22" spans="1:10" x14ac:dyDescent="0.25">
      <c r="A22" s="22"/>
      <c r="B22" s="33"/>
      <c r="C22" s="24">
        <f>IFERROR(_xlfn.XLOOKUP($A22,Database!$A$2:$A$100,Database!B$2:B$100)*$B22,0)</f>
        <v>0</v>
      </c>
      <c r="D22" s="24">
        <f>IFERROR(_xlfn.XLOOKUP($A22,Database!$A$2:$A$100,Database!C$2:C$100)*$B22,0)</f>
        <v>0</v>
      </c>
      <c r="E22" s="24">
        <f>IFERROR(_xlfn.XLOOKUP($A22,Database!$A$2:$A$100,Database!D$2:D$100)*$B22,0)</f>
        <v>0</v>
      </c>
      <c r="F22" s="24">
        <f>IFERROR(_xlfn.XLOOKUP($A22,Database!$A$2:$A$100,Database!E$2:E$100)*$B22,0)</f>
        <v>0</v>
      </c>
      <c r="G22" s="24">
        <f>IFERROR(_xlfn.XLOOKUP($A22,Database!$A$2:$A$100,Database!F$2:F$100)*$B22,0)</f>
        <v>0</v>
      </c>
      <c r="H22" s="24">
        <f>IFERROR(_xlfn.XLOOKUP($A22,Database!$A$2:$A$100,Database!G$2:G$100)*$B22,0)</f>
        <v>0</v>
      </c>
      <c r="I22" s="24">
        <f>IFERROR(_xlfn.XLOOKUP($A22,Database!$A$2:$A$100,Database!H$2:H$100)*$B22,0)</f>
        <v>0</v>
      </c>
      <c r="J22" s="24">
        <f>IFERROR(_xlfn.XLOOKUP($A22,Database!$A$2:$A$100,Database!I$2:I$100)*$B22,0)</f>
        <v>0</v>
      </c>
    </row>
    <row r="23" spans="1:10" x14ac:dyDescent="0.25">
      <c r="A23" s="22"/>
      <c r="B23" s="33"/>
      <c r="C23" s="24">
        <f>IFERROR(_xlfn.XLOOKUP($A23,Database!$A$2:$A$100,Database!B$2:B$100)*$B23,0)</f>
        <v>0</v>
      </c>
      <c r="D23" s="24">
        <f>IFERROR(_xlfn.XLOOKUP($A23,Database!$A$2:$A$100,Database!C$2:C$100)*$B23,0)</f>
        <v>0</v>
      </c>
      <c r="E23" s="24">
        <f>IFERROR(_xlfn.XLOOKUP($A23,Database!$A$2:$A$100,Database!D$2:D$100)*$B23,0)</f>
        <v>0</v>
      </c>
      <c r="F23" s="24">
        <f>IFERROR(_xlfn.XLOOKUP($A23,Database!$A$2:$A$100,Database!E$2:E$100)*$B23,0)</f>
        <v>0</v>
      </c>
      <c r="G23" s="24">
        <f>IFERROR(_xlfn.XLOOKUP($A23,Database!$A$2:$A$100,Database!F$2:F$100)*$B23,0)</f>
        <v>0</v>
      </c>
      <c r="H23" s="24">
        <f>IFERROR(_xlfn.XLOOKUP($A23,Database!$A$2:$A$100,Database!G$2:G$100)*$B23,0)</f>
        <v>0</v>
      </c>
      <c r="I23" s="24">
        <f>IFERROR(_xlfn.XLOOKUP($A23,Database!$A$2:$A$100,Database!H$2:H$100)*$B23,0)</f>
        <v>0</v>
      </c>
      <c r="J23" s="24">
        <f>IFERROR(_xlfn.XLOOKUP($A23,Database!$A$2:$A$100,Database!I$2:I$100)*$B23,0)</f>
        <v>0</v>
      </c>
    </row>
    <row r="24" spans="1:10" x14ac:dyDescent="0.25">
      <c r="A24" s="22"/>
      <c r="B24" s="33"/>
      <c r="C24" s="24">
        <f>IFERROR(_xlfn.XLOOKUP($A24,Database!$A$2:$A$100,Database!B$2:B$100)*$B24,0)</f>
        <v>0</v>
      </c>
      <c r="D24" s="24">
        <f>IFERROR(_xlfn.XLOOKUP($A24,Database!$A$2:$A$100,Database!C$2:C$100)*$B24,0)</f>
        <v>0</v>
      </c>
      <c r="E24" s="24">
        <f>IFERROR(_xlfn.XLOOKUP($A24,Database!$A$2:$A$100,Database!D$2:D$100)*$B24,0)</f>
        <v>0</v>
      </c>
      <c r="F24" s="24">
        <f>IFERROR(_xlfn.XLOOKUP($A24,Database!$A$2:$A$100,Database!E$2:E$100)*$B24,0)</f>
        <v>0</v>
      </c>
      <c r="G24" s="24">
        <f>IFERROR(_xlfn.XLOOKUP($A24,Database!$A$2:$A$100,Database!F$2:F$100)*$B24,0)</f>
        <v>0</v>
      </c>
      <c r="H24" s="24">
        <f>IFERROR(_xlfn.XLOOKUP($A24,Database!$A$2:$A$100,Database!G$2:G$100)*$B24,0)</f>
        <v>0</v>
      </c>
      <c r="I24" s="24">
        <f>IFERROR(_xlfn.XLOOKUP($A24,Database!$A$2:$A$100,Database!H$2:H$100)*$B24,0)</f>
        <v>0</v>
      </c>
      <c r="J24" s="24">
        <f>IFERROR(_xlfn.XLOOKUP($A24,Database!$A$2:$A$100,Database!I$2:I$100)*$B24,0)</f>
        <v>0</v>
      </c>
    </row>
    <row r="25" spans="1:10" x14ac:dyDescent="0.25">
      <c r="A25" s="22"/>
      <c r="B25" s="33"/>
      <c r="C25" s="24">
        <f>IFERROR(_xlfn.XLOOKUP($A25,Database!$A$2:$A$100,Database!B$2:B$100)*$B25,0)</f>
        <v>0</v>
      </c>
      <c r="D25" s="24">
        <f>IFERROR(_xlfn.XLOOKUP($A25,Database!$A$2:$A$100,Database!C$2:C$100)*$B25,0)</f>
        <v>0</v>
      </c>
      <c r="E25" s="24">
        <f>IFERROR(_xlfn.XLOOKUP($A25,Database!$A$2:$A$100,Database!D$2:D$100)*$B25,0)</f>
        <v>0</v>
      </c>
      <c r="F25" s="24">
        <f>IFERROR(_xlfn.XLOOKUP($A25,Database!$A$2:$A$100,Database!E$2:E$100)*$B25,0)</f>
        <v>0</v>
      </c>
      <c r="G25" s="24">
        <f>IFERROR(_xlfn.XLOOKUP($A25,Database!$A$2:$A$100,Database!F$2:F$100)*$B25,0)</f>
        <v>0</v>
      </c>
      <c r="H25" s="24">
        <f>IFERROR(_xlfn.XLOOKUP($A25,Database!$A$2:$A$100,Database!G$2:G$100)*$B25,0)</f>
        <v>0</v>
      </c>
      <c r="I25" s="24">
        <f>IFERROR(_xlfn.XLOOKUP($A25,Database!$A$2:$A$100,Database!H$2:H$100)*$B25,0)</f>
        <v>0</v>
      </c>
      <c r="J25" s="24">
        <f>IFERROR(_xlfn.XLOOKUP($A25,Database!$A$2:$A$100,Database!I$2:I$100)*$B25,0)</f>
        <v>0</v>
      </c>
    </row>
    <row r="26" spans="1:10" x14ac:dyDescent="0.25">
      <c r="A26" s="22"/>
      <c r="B26" s="33"/>
      <c r="C26" s="24">
        <f>IFERROR(_xlfn.XLOOKUP($A26,Database!$A$2:$A$100,Database!B$2:B$100)*$B26,0)</f>
        <v>0</v>
      </c>
      <c r="D26" s="24">
        <f>IFERROR(_xlfn.XLOOKUP($A26,Database!$A$2:$A$100,Database!C$2:C$100)*$B26,0)</f>
        <v>0</v>
      </c>
      <c r="E26" s="24">
        <f>IFERROR(_xlfn.XLOOKUP($A26,Database!$A$2:$A$100,Database!D$2:D$100)*$B26,0)</f>
        <v>0</v>
      </c>
      <c r="F26" s="24">
        <f>IFERROR(_xlfn.XLOOKUP($A26,Database!$A$2:$A$100,Database!E$2:E$100)*$B26,0)</f>
        <v>0</v>
      </c>
      <c r="G26" s="24">
        <f>IFERROR(_xlfn.XLOOKUP($A26,Database!$A$2:$A$100,Database!F$2:F$100)*$B26,0)</f>
        <v>0</v>
      </c>
      <c r="H26" s="24">
        <f>IFERROR(_xlfn.XLOOKUP($A26,Database!$A$2:$A$100,Database!G$2:G$100)*$B26,0)</f>
        <v>0</v>
      </c>
      <c r="I26" s="24">
        <f>IFERROR(_xlfn.XLOOKUP($A26,Database!$A$2:$A$100,Database!H$2:H$100)*$B26,0)</f>
        <v>0</v>
      </c>
      <c r="J26" s="24">
        <f>IFERROR(_xlfn.XLOOKUP($A26,Database!$A$2:$A$100,Database!I$2:I$100)*$B26,0)</f>
        <v>0</v>
      </c>
    </row>
    <row r="27" spans="1:10" x14ac:dyDescent="0.25">
      <c r="A27" s="22"/>
      <c r="B27" s="33"/>
      <c r="C27" s="24">
        <f>IFERROR(_xlfn.XLOOKUP($A27,Database!$A$2:$A$100,Database!B$2:B$100)*$B27,0)</f>
        <v>0</v>
      </c>
      <c r="D27" s="24">
        <f>IFERROR(_xlfn.XLOOKUP($A27,Database!$A$2:$A$100,Database!C$2:C$100)*$B27,0)</f>
        <v>0</v>
      </c>
      <c r="E27" s="24">
        <f>IFERROR(_xlfn.XLOOKUP($A27,Database!$A$2:$A$100,Database!D$2:D$100)*$B27,0)</f>
        <v>0</v>
      </c>
      <c r="F27" s="24">
        <f>IFERROR(_xlfn.XLOOKUP($A27,Database!$A$2:$A$100,Database!E$2:E$100)*$B27,0)</f>
        <v>0</v>
      </c>
      <c r="G27" s="24">
        <f>IFERROR(_xlfn.XLOOKUP($A27,Database!$A$2:$A$100,Database!F$2:F$100)*$B27,0)</f>
        <v>0</v>
      </c>
      <c r="H27" s="24">
        <f>IFERROR(_xlfn.XLOOKUP($A27,Database!$A$2:$A$100,Database!G$2:G$100)*$B27,0)</f>
        <v>0</v>
      </c>
      <c r="I27" s="24">
        <f>IFERROR(_xlfn.XLOOKUP($A27,Database!$A$2:$A$100,Database!H$2:H$100)*$B27,0)</f>
        <v>0</v>
      </c>
      <c r="J27" s="24">
        <f>IFERROR(_xlfn.XLOOKUP($A27,Database!$A$2:$A$100,Database!I$2:I$100)*$B27,0)</f>
        <v>0</v>
      </c>
    </row>
    <row r="28" spans="1:10" x14ac:dyDescent="0.25">
      <c r="A28" s="22"/>
      <c r="B28" s="33"/>
      <c r="C28" s="24">
        <f>IFERROR(_xlfn.XLOOKUP($A28,Database!$A$2:$A$100,Database!B$2:B$100)*$B28,0)</f>
        <v>0</v>
      </c>
      <c r="D28" s="24">
        <f>IFERROR(_xlfn.XLOOKUP($A28,Database!$A$2:$A$100,Database!C$2:C$100)*$B28,0)</f>
        <v>0</v>
      </c>
      <c r="E28" s="24">
        <f>IFERROR(_xlfn.XLOOKUP($A28,Database!$A$2:$A$100,Database!D$2:D$100)*$B28,0)</f>
        <v>0</v>
      </c>
      <c r="F28" s="24">
        <f>IFERROR(_xlfn.XLOOKUP($A28,Database!$A$2:$A$100,Database!E$2:E$100)*$B28,0)</f>
        <v>0</v>
      </c>
      <c r="G28" s="24">
        <f>IFERROR(_xlfn.XLOOKUP($A28,Database!$A$2:$A$100,Database!F$2:F$100)*$B28,0)</f>
        <v>0</v>
      </c>
      <c r="H28" s="24">
        <f>IFERROR(_xlfn.XLOOKUP($A28,Database!$A$2:$A$100,Database!G$2:G$100)*$B28,0)</f>
        <v>0</v>
      </c>
      <c r="I28" s="24">
        <f>IFERROR(_xlfn.XLOOKUP($A28,Database!$A$2:$A$100,Database!H$2:H$100)*$B28,0)</f>
        <v>0</v>
      </c>
      <c r="J28" s="24">
        <f>IFERROR(_xlfn.XLOOKUP($A28,Database!$A$2:$A$100,Database!I$2:I$100)*$B28,0)</f>
        <v>0</v>
      </c>
    </row>
    <row r="29" spans="1:10" x14ac:dyDescent="0.25">
      <c r="A29" s="22"/>
      <c r="B29" s="33"/>
      <c r="C29" s="24">
        <f>IFERROR(_xlfn.XLOOKUP($A29,Database!$A$2:$A$100,Database!B$2:B$100)*$B29,0)</f>
        <v>0</v>
      </c>
      <c r="D29" s="24">
        <f>IFERROR(_xlfn.XLOOKUP($A29,Database!$A$2:$A$100,Database!C$2:C$100)*$B29,0)</f>
        <v>0</v>
      </c>
      <c r="E29" s="24">
        <f>IFERROR(_xlfn.XLOOKUP($A29,Database!$A$2:$A$100,Database!D$2:D$100)*$B29,0)</f>
        <v>0</v>
      </c>
      <c r="F29" s="24">
        <f>IFERROR(_xlfn.XLOOKUP($A29,Database!$A$2:$A$100,Database!E$2:E$100)*$B29,0)</f>
        <v>0</v>
      </c>
      <c r="G29" s="24">
        <f>IFERROR(_xlfn.XLOOKUP($A29,Database!$A$2:$A$100,Database!F$2:F$100)*$B29,0)</f>
        <v>0</v>
      </c>
      <c r="H29" s="24">
        <f>IFERROR(_xlfn.XLOOKUP($A29,Database!$A$2:$A$100,Database!G$2:G$100)*$B29,0)</f>
        <v>0</v>
      </c>
      <c r="I29" s="24">
        <f>IFERROR(_xlfn.XLOOKUP($A29,Database!$A$2:$A$100,Database!H$2:H$100)*$B29,0)</f>
        <v>0</v>
      </c>
      <c r="J29" s="24">
        <f>IFERROR(_xlfn.XLOOKUP($A29,Database!$A$2:$A$100,Database!I$2:I$100)*$B29,0)</f>
        <v>0</v>
      </c>
    </row>
    <row r="30" spans="1:10" x14ac:dyDescent="0.25">
      <c r="A30" s="22"/>
      <c r="B30" s="33"/>
      <c r="C30" s="24">
        <f>IFERROR(_xlfn.XLOOKUP($A30,Database!$A$2:$A$100,Database!B$2:B$100)*$B30,0)</f>
        <v>0</v>
      </c>
      <c r="D30" s="24">
        <f>IFERROR(_xlfn.XLOOKUP($A30,Database!$A$2:$A$100,Database!C$2:C$100)*$B30,0)</f>
        <v>0</v>
      </c>
      <c r="E30" s="24">
        <f>IFERROR(_xlfn.XLOOKUP($A30,Database!$A$2:$A$100,Database!D$2:D$100)*$B30,0)</f>
        <v>0</v>
      </c>
      <c r="F30" s="24">
        <f>IFERROR(_xlfn.XLOOKUP($A30,Database!$A$2:$A$100,Database!E$2:E$100)*$B30,0)</f>
        <v>0</v>
      </c>
      <c r="G30" s="24">
        <f>IFERROR(_xlfn.XLOOKUP($A30,Database!$A$2:$A$100,Database!F$2:F$100)*$B30,0)</f>
        <v>0</v>
      </c>
      <c r="H30" s="24">
        <f>IFERROR(_xlfn.XLOOKUP($A30,Database!$A$2:$A$100,Database!G$2:G$100)*$B30,0)</f>
        <v>0</v>
      </c>
      <c r="I30" s="24">
        <f>IFERROR(_xlfn.XLOOKUP($A30,Database!$A$2:$A$100,Database!H$2:H$100)*$B30,0)</f>
        <v>0</v>
      </c>
      <c r="J30" s="24">
        <f>IFERROR(_xlfn.XLOOKUP($A30,Database!$A$2:$A$100,Database!I$2:I$100)*$B30,0)</f>
        <v>0</v>
      </c>
    </row>
    <row r="31" spans="1:10" x14ac:dyDescent="0.25">
      <c r="A31" s="22"/>
      <c r="B31" s="33"/>
      <c r="C31" s="24">
        <f>IFERROR(_xlfn.XLOOKUP($A31,Database!$A$2:$A$100,Database!B$2:B$100)*$B31,0)</f>
        <v>0</v>
      </c>
      <c r="D31" s="24">
        <f>IFERROR(_xlfn.XLOOKUP($A31,Database!$A$2:$A$100,Database!C$2:C$100)*$B31,0)</f>
        <v>0</v>
      </c>
      <c r="E31" s="24">
        <f>IFERROR(_xlfn.XLOOKUP($A31,Database!$A$2:$A$100,Database!D$2:D$100)*$B31,0)</f>
        <v>0</v>
      </c>
      <c r="F31" s="24">
        <f>IFERROR(_xlfn.XLOOKUP($A31,Database!$A$2:$A$100,Database!E$2:E$100)*$B31,0)</f>
        <v>0</v>
      </c>
      <c r="G31" s="24">
        <f>IFERROR(_xlfn.XLOOKUP($A31,Database!$A$2:$A$100,Database!F$2:F$100)*$B31,0)</f>
        <v>0</v>
      </c>
      <c r="H31" s="24">
        <f>IFERROR(_xlfn.XLOOKUP($A31,Database!$A$2:$A$100,Database!G$2:G$100)*$B31,0)</f>
        <v>0</v>
      </c>
      <c r="I31" s="24">
        <f>IFERROR(_xlfn.XLOOKUP($A31,Database!$A$2:$A$100,Database!H$2:H$100)*$B31,0)</f>
        <v>0</v>
      </c>
      <c r="J31" s="24">
        <f>IFERROR(_xlfn.XLOOKUP($A31,Database!$A$2:$A$100,Database!I$2:I$100)*$B31,0)</f>
        <v>0</v>
      </c>
    </row>
    <row r="32" spans="1:10" x14ac:dyDescent="0.25">
      <c r="A32" s="22"/>
      <c r="B32" s="33"/>
      <c r="C32" s="24">
        <f>IFERROR(_xlfn.XLOOKUP($A32,Database!$A$2:$A$100,Database!B$2:B$100)*$B32,0)</f>
        <v>0</v>
      </c>
      <c r="D32" s="24">
        <f>IFERROR(_xlfn.XLOOKUP($A32,Database!$A$2:$A$100,Database!C$2:C$100)*$B32,0)</f>
        <v>0</v>
      </c>
      <c r="E32" s="24">
        <f>IFERROR(_xlfn.XLOOKUP($A32,Database!$A$2:$A$100,Database!D$2:D$100)*$B32,0)</f>
        <v>0</v>
      </c>
      <c r="F32" s="24">
        <f>IFERROR(_xlfn.XLOOKUP($A32,Database!$A$2:$A$100,Database!E$2:E$100)*$B32,0)</f>
        <v>0</v>
      </c>
      <c r="G32" s="24">
        <f>IFERROR(_xlfn.XLOOKUP($A32,Database!$A$2:$A$100,Database!F$2:F$100)*$B32,0)</f>
        <v>0</v>
      </c>
      <c r="H32" s="24">
        <f>IFERROR(_xlfn.XLOOKUP($A32,Database!$A$2:$A$100,Database!G$2:G$100)*$B32,0)</f>
        <v>0</v>
      </c>
      <c r="I32" s="24">
        <f>IFERROR(_xlfn.XLOOKUP($A32,Database!$A$2:$A$100,Database!H$2:H$100)*$B32,0)</f>
        <v>0</v>
      </c>
      <c r="J32" s="24">
        <f>IFERROR(_xlfn.XLOOKUP($A32,Database!$A$2:$A$100,Database!I$2:I$100)*$B32,0)</f>
        <v>0</v>
      </c>
    </row>
    <row r="33" spans="1:10" x14ac:dyDescent="0.25">
      <c r="A33" s="22"/>
      <c r="B33" s="33"/>
      <c r="C33" s="24">
        <f>IFERROR(_xlfn.XLOOKUP($A33,Database!$A$2:$A$100,Database!B$2:B$100)*$B33,0)</f>
        <v>0</v>
      </c>
      <c r="D33" s="24">
        <f>IFERROR(_xlfn.XLOOKUP($A33,Database!$A$2:$A$100,Database!C$2:C$100)*$B33,0)</f>
        <v>0</v>
      </c>
      <c r="E33" s="24">
        <f>IFERROR(_xlfn.XLOOKUP($A33,Database!$A$2:$A$100,Database!D$2:D$100)*$B33,0)</f>
        <v>0</v>
      </c>
      <c r="F33" s="24">
        <f>IFERROR(_xlfn.XLOOKUP($A33,Database!$A$2:$A$100,Database!E$2:E$100)*$B33,0)</f>
        <v>0</v>
      </c>
      <c r="G33" s="24">
        <f>IFERROR(_xlfn.XLOOKUP($A33,Database!$A$2:$A$100,Database!F$2:F$100)*$B33,0)</f>
        <v>0</v>
      </c>
      <c r="H33" s="24">
        <f>IFERROR(_xlfn.XLOOKUP($A33,Database!$A$2:$A$100,Database!G$2:G$100)*$B33,0)</f>
        <v>0</v>
      </c>
      <c r="I33" s="24">
        <f>IFERROR(_xlfn.XLOOKUP($A33,Database!$A$2:$A$100,Database!H$2:H$100)*$B33,0)</f>
        <v>0</v>
      </c>
      <c r="J33" s="24">
        <f>IFERROR(_xlfn.XLOOKUP($A33,Database!$A$2:$A$100,Database!I$2:I$100)*$B33,0)</f>
        <v>0</v>
      </c>
    </row>
    <row r="34" spans="1:10" x14ac:dyDescent="0.25">
      <c r="A34" s="22"/>
      <c r="B34" s="33"/>
      <c r="C34" s="24">
        <f>IFERROR(_xlfn.XLOOKUP($A34,Database!$A$2:$A$100,Database!B$2:B$100)*$B34,0)</f>
        <v>0</v>
      </c>
      <c r="D34" s="24">
        <f>IFERROR(_xlfn.XLOOKUP($A34,Database!$A$2:$A$100,Database!C$2:C$100)*$B34,0)</f>
        <v>0</v>
      </c>
      <c r="E34" s="24">
        <f>IFERROR(_xlfn.XLOOKUP($A34,Database!$A$2:$A$100,Database!D$2:D$100)*$B34,0)</f>
        <v>0</v>
      </c>
      <c r="F34" s="24">
        <f>IFERROR(_xlfn.XLOOKUP($A34,Database!$A$2:$A$100,Database!E$2:E$100)*$B34,0)</f>
        <v>0</v>
      </c>
      <c r="G34" s="24">
        <f>IFERROR(_xlfn.XLOOKUP($A34,Database!$A$2:$A$100,Database!F$2:F$100)*$B34,0)</f>
        <v>0</v>
      </c>
      <c r="H34" s="24">
        <f>IFERROR(_xlfn.XLOOKUP($A34,Database!$A$2:$A$100,Database!G$2:G$100)*$B34,0)</f>
        <v>0</v>
      </c>
      <c r="I34" s="24">
        <f>IFERROR(_xlfn.XLOOKUP($A34,Database!$A$2:$A$100,Database!H$2:H$100)*$B34,0)</f>
        <v>0</v>
      </c>
      <c r="J34" s="24">
        <f>IFERROR(_xlfn.XLOOKUP($A34,Database!$A$2:$A$100,Database!I$2:I$100)*$B34,0)</f>
        <v>0</v>
      </c>
    </row>
    <row r="35" spans="1:10" x14ac:dyDescent="0.25">
      <c r="A35" s="22"/>
      <c r="B35" s="33"/>
      <c r="C35" s="24">
        <f>IFERROR(_xlfn.XLOOKUP($A35,Database!$A$2:$A$100,Database!B$2:B$100)*$B35,0)</f>
        <v>0</v>
      </c>
      <c r="D35" s="24">
        <f>IFERROR(_xlfn.XLOOKUP($A35,Database!$A$2:$A$100,Database!C$2:C$100)*$B35,0)</f>
        <v>0</v>
      </c>
      <c r="E35" s="24">
        <f>IFERROR(_xlfn.XLOOKUP($A35,Database!$A$2:$A$100,Database!D$2:D$100)*$B35,0)</f>
        <v>0</v>
      </c>
      <c r="F35" s="24">
        <f>IFERROR(_xlfn.XLOOKUP($A35,Database!$A$2:$A$100,Database!E$2:E$100)*$B35,0)</f>
        <v>0</v>
      </c>
      <c r="G35" s="24">
        <f>IFERROR(_xlfn.XLOOKUP($A35,Database!$A$2:$A$100,Database!F$2:F$100)*$B35,0)</f>
        <v>0</v>
      </c>
      <c r="H35" s="24">
        <f>IFERROR(_xlfn.XLOOKUP($A35,Database!$A$2:$A$100,Database!G$2:G$100)*$B35,0)</f>
        <v>0</v>
      </c>
      <c r="I35" s="24">
        <f>IFERROR(_xlfn.XLOOKUP($A35,Database!$A$2:$A$100,Database!H$2:H$100)*$B35,0)</f>
        <v>0</v>
      </c>
      <c r="J35" s="24">
        <f>IFERROR(_xlfn.XLOOKUP($A35,Database!$A$2:$A$100,Database!I$2:I$100)*$B35,0)</f>
        <v>0</v>
      </c>
    </row>
    <row r="36" spans="1:10" x14ac:dyDescent="0.25">
      <c r="A36" s="22"/>
      <c r="B36" s="33"/>
      <c r="C36" s="24">
        <f>IFERROR(_xlfn.XLOOKUP($A36,Database!$A$2:$A$100,Database!B$2:B$100)*$B36,0)</f>
        <v>0</v>
      </c>
      <c r="D36" s="24">
        <f>IFERROR(_xlfn.XLOOKUP($A36,Database!$A$2:$A$100,Database!C$2:C$100)*$B36,0)</f>
        <v>0</v>
      </c>
      <c r="E36" s="24">
        <f>IFERROR(_xlfn.XLOOKUP($A36,Database!$A$2:$A$100,Database!D$2:D$100)*$B36,0)</f>
        <v>0</v>
      </c>
      <c r="F36" s="24">
        <f>IFERROR(_xlfn.XLOOKUP($A36,Database!$A$2:$A$100,Database!E$2:E$100)*$B36,0)</f>
        <v>0</v>
      </c>
      <c r="G36" s="24">
        <f>IFERROR(_xlfn.XLOOKUP($A36,Database!$A$2:$A$100,Database!F$2:F$100)*$B36,0)</f>
        <v>0</v>
      </c>
      <c r="H36" s="24">
        <f>IFERROR(_xlfn.XLOOKUP($A36,Database!$A$2:$A$100,Database!G$2:G$100)*$B36,0)</f>
        <v>0</v>
      </c>
      <c r="I36" s="24">
        <f>IFERROR(_xlfn.XLOOKUP($A36,Database!$A$2:$A$100,Database!H$2:H$100)*$B36,0)</f>
        <v>0</v>
      </c>
      <c r="J36" s="24">
        <f>IFERROR(_xlfn.XLOOKUP($A36,Database!$A$2:$A$100,Database!I$2:I$100)*$B36,0)</f>
        <v>0</v>
      </c>
    </row>
    <row r="37" spans="1:10" x14ac:dyDescent="0.25">
      <c r="A37" s="22"/>
      <c r="B37" s="33"/>
      <c r="C37" s="24">
        <f>IFERROR(_xlfn.XLOOKUP($A37,Database!$A$2:$A$100,Database!B$2:B$100)*$B37,0)</f>
        <v>0</v>
      </c>
      <c r="D37" s="24">
        <f>IFERROR(_xlfn.XLOOKUP($A37,Database!$A$2:$A$100,Database!C$2:C$100)*$B37,0)</f>
        <v>0</v>
      </c>
      <c r="E37" s="24">
        <f>IFERROR(_xlfn.XLOOKUP($A37,Database!$A$2:$A$100,Database!D$2:D$100)*$B37,0)</f>
        <v>0</v>
      </c>
      <c r="F37" s="24">
        <f>IFERROR(_xlfn.XLOOKUP($A37,Database!$A$2:$A$100,Database!E$2:E$100)*$B37,0)</f>
        <v>0</v>
      </c>
      <c r="G37" s="24">
        <f>IFERROR(_xlfn.XLOOKUP($A37,Database!$A$2:$A$100,Database!F$2:F$100)*$B37,0)</f>
        <v>0</v>
      </c>
      <c r="H37" s="24">
        <f>IFERROR(_xlfn.XLOOKUP($A37,Database!$A$2:$A$100,Database!G$2:G$100)*$B37,0)</f>
        <v>0</v>
      </c>
      <c r="I37" s="24">
        <f>IFERROR(_xlfn.XLOOKUP($A37,Database!$A$2:$A$100,Database!H$2:H$100)*$B37,0)</f>
        <v>0</v>
      </c>
      <c r="J37" s="24">
        <f>IFERROR(_xlfn.XLOOKUP($A37,Database!$A$2:$A$100,Database!I$2:I$100)*$B37,0)</f>
        <v>0</v>
      </c>
    </row>
    <row r="38" spans="1:10" x14ac:dyDescent="0.25">
      <c r="A38" s="22"/>
      <c r="B38" s="33"/>
      <c r="C38" s="24">
        <f>IFERROR(_xlfn.XLOOKUP($A38,Database!$A$2:$A$100,Database!B$2:B$100)*$B38,0)</f>
        <v>0</v>
      </c>
      <c r="D38" s="24">
        <f>IFERROR(_xlfn.XLOOKUP($A38,Database!$A$2:$A$100,Database!C$2:C$100)*$B38,0)</f>
        <v>0</v>
      </c>
      <c r="E38" s="24">
        <f>IFERROR(_xlfn.XLOOKUP($A38,Database!$A$2:$A$100,Database!D$2:D$100)*$B38,0)</f>
        <v>0</v>
      </c>
      <c r="F38" s="24">
        <f>IFERROR(_xlfn.XLOOKUP($A38,Database!$A$2:$A$100,Database!E$2:E$100)*$B38,0)</f>
        <v>0</v>
      </c>
      <c r="G38" s="24">
        <f>IFERROR(_xlfn.XLOOKUP($A38,Database!$A$2:$A$100,Database!F$2:F$100)*$B38,0)</f>
        <v>0</v>
      </c>
      <c r="H38" s="24">
        <f>IFERROR(_xlfn.XLOOKUP($A38,Database!$A$2:$A$100,Database!G$2:G$100)*$B38,0)</f>
        <v>0</v>
      </c>
      <c r="I38" s="24">
        <f>IFERROR(_xlfn.XLOOKUP($A38,Database!$A$2:$A$100,Database!H$2:H$100)*$B38,0)</f>
        <v>0</v>
      </c>
      <c r="J38" s="24">
        <f>IFERROR(_xlfn.XLOOKUP($A38,Database!$A$2:$A$100,Database!I$2:I$100)*$B38,0)</f>
        <v>0</v>
      </c>
    </row>
    <row r="39" spans="1:10" x14ac:dyDescent="0.25">
      <c r="A39" s="22"/>
      <c r="B39" s="33"/>
      <c r="C39" s="24">
        <f>IFERROR(_xlfn.XLOOKUP($A39,Database!$A$2:$A$100,Database!B$2:B$100)*$B39,0)</f>
        <v>0</v>
      </c>
      <c r="D39" s="24">
        <f>IFERROR(_xlfn.XLOOKUP($A39,Database!$A$2:$A$100,Database!C$2:C$100)*$B39,0)</f>
        <v>0</v>
      </c>
      <c r="E39" s="24">
        <f>IFERROR(_xlfn.XLOOKUP($A39,Database!$A$2:$A$100,Database!D$2:D$100)*$B39,0)</f>
        <v>0</v>
      </c>
      <c r="F39" s="24">
        <f>IFERROR(_xlfn.XLOOKUP($A39,Database!$A$2:$A$100,Database!E$2:E$100)*$B39,0)</f>
        <v>0</v>
      </c>
      <c r="G39" s="24">
        <f>IFERROR(_xlfn.XLOOKUP($A39,Database!$A$2:$A$100,Database!F$2:F$100)*$B39,0)</f>
        <v>0</v>
      </c>
      <c r="H39" s="24">
        <f>IFERROR(_xlfn.XLOOKUP($A39,Database!$A$2:$A$100,Database!G$2:G$100)*$B39,0)</f>
        <v>0</v>
      </c>
      <c r="I39" s="24">
        <f>IFERROR(_xlfn.XLOOKUP($A39,Database!$A$2:$A$100,Database!H$2:H$100)*$B39,0)</f>
        <v>0</v>
      </c>
      <c r="J39" s="24">
        <f>IFERROR(_xlfn.XLOOKUP($A39,Database!$A$2:$A$100,Database!I$2:I$100)*$B39,0)</f>
        <v>0</v>
      </c>
    </row>
    <row r="40" spans="1:10" x14ac:dyDescent="0.25">
      <c r="A40" s="22"/>
      <c r="B40" s="33"/>
      <c r="C40" s="24">
        <f>IFERROR(_xlfn.XLOOKUP($A40,Database!$A$2:$A$100,Database!B$2:B$100)*$B40,0)</f>
        <v>0</v>
      </c>
      <c r="D40" s="24">
        <f>IFERROR(_xlfn.XLOOKUP($A40,Database!$A$2:$A$100,Database!C$2:C$100)*$B40,0)</f>
        <v>0</v>
      </c>
      <c r="E40" s="24">
        <f>IFERROR(_xlfn.XLOOKUP($A40,Database!$A$2:$A$100,Database!D$2:D$100)*$B40,0)</f>
        <v>0</v>
      </c>
      <c r="F40" s="24">
        <f>IFERROR(_xlfn.XLOOKUP($A40,Database!$A$2:$A$100,Database!E$2:E$100)*$B40,0)</f>
        <v>0</v>
      </c>
      <c r="G40" s="24">
        <f>IFERROR(_xlfn.XLOOKUP($A40,Database!$A$2:$A$100,Database!F$2:F$100)*$B40,0)</f>
        <v>0</v>
      </c>
      <c r="H40" s="24">
        <f>IFERROR(_xlfn.XLOOKUP($A40,Database!$A$2:$A$100,Database!G$2:G$100)*$B40,0)</f>
        <v>0</v>
      </c>
      <c r="I40" s="24">
        <f>IFERROR(_xlfn.XLOOKUP($A40,Database!$A$2:$A$100,Database!H$2:H$100)*$B40,0)</f>
        <v>0</v>
      </c>
      <c r="J40" s="24">
        <f>IFERROR(_xlfn.XLOOKUP($A40,Database!$A$2:$A$100,Database!I$2:I$100)*$B40,0)</f>
        <v>0</v>
      </c>
    </row>
    <row r="41" spans="1:10" x14ac:dyDescent="0.25">
      <c r="A41" s="22"/>
      <c r="B41" s="33"/>
      <c r="C41" s="24">
        <f>IFERROR(_xlfn.XLOOKUP($A41,Database!$A$2:$A$100,Database!B$2:B$100)*$B41,0)</f>
        <v>0</v>
      </c>
      <c r="D41" s="24">
        <f>IFERROR(_xlfn.XLOOKUP($A41,Database!$A$2:$A$100,Database!C$2:C$100)*$B41,0)</f>
        <v>0</v>
      </c>
      <c r="E41" s="24">
        <f>IFERROR(_xlfn.XLOOKUP($A41,Database!$A$2:$A$100,Database!D$2:D$100)*$B41,0)</f>
        <v>0</v>
      </c>
      <c r="F41" s="24">
        <f>IFERROR(_xlfn.XLOOKUP($A41,Database!$A$2:$A$100,Database!E$2:E$100)*$B41,0)</f>
        <v>0</v>
      </c>
      <c r="G41" s="24">
        <f>IFERROR(_xlfn.XLOOKUP($A41,Database!$A$2:$A$100,Database!F$2:F$100)*$B41,0)</f>
        <v>0</v>
      </c>
      <c r="H41" s="24">
        <f>IFERROR(_xlfn.XLOOKUP($A41,Database!$A$2:$A$100,Database!G$2:G$100)*$B41,0)</f>
        <v>0</v>
      </c>
      <c r="I41" s="24">
        <f>IFERROR(_xlfn.XLOOKUP($A41,Database!$A$2:$A$100,Database!H$2:H$100)*$B41,0)</f>
        <v>0</v>
      </c>
      <c r="J41" s="24">
        <f>IFERROR(_xlfn.XLOOKUP($A41,Database!$A$2:$A$100,Database!I$2:I$100)*$B41,0)</f>
        <v>0</v>
      </c>
    </row>
    <row r="42" spans="1:10" x14ac:dyDescent="0.25">
      <c r="A42" s="22"/>
      <c r="B42" s="33"/>
      <c r="C42" s="24">
        <f>IFERROR(_xlfn.XLOOKUP($A42,Database!$A$2:$A$100,Database!B$2:B$100)*$B42,0)</f>
        <v>0</v>
      </c>
      <c r="D42" s="24">
        <f>IFERROR(_xlfn.XLOOKUP($A42,Database!$A$2:$A$100,Database!C$2:C$100)*$B42,0)</f>
        <v>0</v>
      </c>
      <c r="E42" s="24">
        <f>IFERROR(_xlfn.XLOOKUP($A42,Database!$A$2:$A$100,Database!D$2:D$100)*$B42,0)</f>
        <v>0</v>
      </c>
      <c r="F42" s="24">
        <f>IFERROR(_xlfn.XLOOKUP($A42,Database!$A$2:$A$100,Database!E$2:E$100)*$B42,0)</f>
        <v>0</v>
      </c>
      <c r="G42" s="24">
        <f>IFERROR(_xlfn.XLOOKUP($A42,Database!$A$2:$A$100,Database!F$2:F$100)*$B42,0)</f>
        <v>0</v>
      </c>
      <c r="H42" s="24">
        <f>IFERROR(_xlfn.XLOOKUP($A42,Database!$A$2:$A$100,Database!G$2:G$100)*$B42,0)</f>
        <v>0</v>
      </c>
      <c r="I42" s="24">
        <f>IFERROR(_xlfn.XLOOKUP($A42,Database!$A$2:$A$100,Database!H$2:H$100)*$B42,0)</f>
        <v>0</v>
      </c>
      <c r="J42" s="24">
        <f>IFERROR(_xlfn.XLOOKUP($A42,Database!$A$2:$A$100,Database!I$2:I$100)*$B42,0)</f>
        <v>0</v>
      </c>
    </row>
    <row r="43" spans="1:10" x14ac:dyDescent="0.25">
      <c r="A43" s="22"/>
      <c r="B43" s="33"/>
      <c r="C43" s="24">
        <f>IFERROR(_xlfn.XLOOKUP($A43,Database!$A$2:$A$100,Database!B$2:B$100)*$B43,0)</f>
        <v>0</v>
      </c>
      <c r="D43" s="24">
        <f>IFERROR(_xlfn.XLOOKUP($A43,Database!$A$2:$A$100,Database!C$2:C$100)*$B43,0)</f>
        <v>0</v>
      </c>
      <c r="E43" s="24">
        <f>IFERROR(_xlfn.XLOOKUP($A43,Database!$A$2:$A$100,Database!D$2:D$100)*$B43,0)</f>
        <v>0</v>
      </c>
      <c r="F43" s="24">
        <f>IFERROR(_xlfn.XLOOKUP($A43,Database!$A$2:$A$100,Database!E$2:E$100)*$B43,0)</f>
        <v>0</v>
      </c>
      <c r="G43" s="24">
        <f>IFERROR(_xlfn.XLOOKUP($A43,Database!$A$2:$A$100,Database!F$2:F$100)*$B43,0)</f>
        <v>0</v>
      </c>
      <c r="H43" s="24">
        <f>IFERROR(_xlfn.XLOOKUP($A43,Database!$A$2:$A$100,Database!G$2:G$100)*$B43,0)</f>
        <v>0</v>
      </c>
      <c r="I43" s="24">
        <f>IFERROR(_xlfn.XLOOKUP($A43,Database!$A$2:$A$100,Database!H$2:H$100)*$B43,0)</f>
        <v>0</v>
      </c>
      <c r="J43" s="24">
        <f>IFERROR(_xlfn.XLOOKUP($A43,Database!$A$2:$A$100,Database!I$2:I$100)*$B43,0)</f>
        <v>0</v>
      </c>
    </row>
    <row r="44" spans="1:10" x14ac:dyDescent="0.25">
      <c r="A44" s="22"/>
      <c r="B44" s="33"/>
      <c r="C44" s="24">
        <f>IFERROR(_xlfn.XLOOKUP($A44,Database!$A$2:$A$100,Database!B$2:B$100)*$B44,0)</f>
        <v>0</v>
      </c>
      <c r="D44" s="24">
        <f>IFERROR(_xlfn.XLOOKUP($A44,Database!$A$2:$A$100,Database!C$2:C$100)*$B44,0)</f>
        <v>0</v>
      </c>
      <c r="E44" s="24">
        <f>IFERROR(_xlfn.XLOOKUP($A44,Database!$A$2:$A$100,Database!D$2:D$100)*$B44,0)</f>
        <v>0</v>
      </c>
      <c r="F44" s="24">
        <f>IFERROR(_xlfn.XLOOKUP($A44,Database!$A$2:$A$100,Database!E$2:E$100)*$B44,0)</f>
        <v>0</v>
      </c>
      <c r="G44" s="24">
        <f>IFERROR(_xlfn.XLOOKUP($A44,Database!$A$2:$A$100,Database!F$2:F$100)*$B44,0)</f>
        <v>0</v>
      </c>
      <c r="H44" s="24">
        <f>IFERROR(_xlfn.XLOOKUP($A44,Database!$A$2:$A$100,Database!G$2:G$100)*$B44,0)</f>
        <v>0</v>
      </c>
      <c r="I44" s="24">
        <f>IFERROR(_xlfn.XLOOKUP($A44,Database!$A$2:$A$100,Database!H$2:H$100)*$B44,0)</f>
        <v>0</v>
      </c>
      <c r="J44" s="24">
        <f>IFERROR(_xlfn.XLOOKUP($A44,Database!$A$2:$A$100,Database!I$2:I$100)*$B44,0)</f>
        <v>0</v>
      </c>
    </row>
    <row r="45" spans="1:10" x14ac:dyDescent="0.25">
      <c r="A45" s="22"/>
      <c r="B45" s="33"/>
      <c r="C45" s="24">
        <f>IFERROR(_xlfn.XLOOKUP($A45,Database!$A$2:$A$100,Database!B$2:B$100)*$B45,0)</f>
        <v>0</v>
      </c>
      <c r="D45" s="24">
        <f>IFERROR(_xlfn.XLOOKUP($A45,Database!$A$2:$A$100,Database!C$2:C$100)*$B45,0)</f>
        <v>0</v>
      </c>
      <c r="E45" s="24">
        <f>IFERROR(_xlfn.XLOOKUP($A45,Database!$A$2:$A$100,Database!D$2:D$100)*$B45,0)</f>
        <v>0</v>
      </c>
      <c r="F45" s="24">
        <f>IFERROR(_xlfn.XLOOKUP($A45,Database!$A$2:$A$100,Database!E$2:E$100)*$B45,0)</f>
        <v>0</v>
      </c>
      <c r="G45" s="24">
        <f>IFERROR(_xlfn.XLOOKUP($A45,Database!$A$2:$A$100,Database!F$2:F$100)*$B45,0)</f>
        <v>0</v>
      </c>
      <c r="H45" s="24">
        <f>IFERROR(_xlfn.XLOOKUP($A45,Database!$A$2:$A$100,Database!G$2:G$100)*$B45,0)</f>
        <v>0</v>
      </c>
      <c r="I45" s="24">
        <f>IFERROR(_xlfn.XLOOKUP($A45,Database!$A$2:$A$100,Database!H$2:H$100)*$B45,0)</f>
        <v>0</v>
      </c>
      <c r="J45" s="24">
        <f>IFERROR(_xlfn.XLOOKUP($A45,Database!$A$2:$A$100,Database!I$2:I$100)*$B45,0)</f>
        <v>0</v>
      </c>
    </row>
    <row r="46" spans="1:10" x14ac:dyDescent="0.25">
      <c r="A46" s="22"/>
      <c r="B46" s="33"/>
      <c r="C46" s="24">
        <f>IFERROR(_xlfn.XLOOKUP($A46,Database!$A$2:$A$100,Database!B$2:B$100)*$B46,0)</f>
        <v>0</v>
      </c>
      <c r="D46" s="24">
        <f>IFERROR(_xlfn.XLOOKUP($A46,Database!$A$2:$A$100,Database!C$2:C$100)*$B46,0)</f>
        <v>0</v>
      </c>
      <c r="E46" s="24">
        <f>IFERROR(_xlfn.XLOOKUP($A46,Database!$A$2:$A$100,Database!D$2:D$100)*$B46,0)</f>
        <v>0</v>
      </c>
      <c r="F46" s="24">
        <f>IFERROR(_xlfn.XLOOKUP($A46,Database!$A$2:$A$100,Database!E$2:E$100)*$B46,0)</f>
        <v>0</v>
      </c>
      <c r="G46" s="24">
        <f>IFERROR(_xlfn.XLOOKUP($A46,Database!$A$2:$A$100,Database!F$2:F$100)*$B46,0)</f>
        <v>0</v>
      </c>
      <c r="H46" s="24">
        <f>IFERROR(_xlfn.XLOOKUP($A46,Database!$A$2:$A$100,Database!G$2:G$100)*$B46,0)</f>
        <v>0</v>
      </c>
      <c r="I46" s="24">
        <f>IFERROR(_xlfn.XLOOKUP($A46,Database!$A$2:$A$100,Database!H$2:H$100)*$B46,0)</f>
        <v>0</v>
      </c>
      <c r="J46" s="24">
        <f>IFERROR(_xlfn.XLOOKUP($A46,Database!$A$2:$A$100,Database!I$2:I$100)*$B46,0)</f>
        <v>0</v>
      </c>
    </row>
    <row r="47" spans="1:10" x14ac:dyDescent="0.25">
      <c r="A47" s="22"/>
      <c r="B47" s="33"/>
      <c r="C47" s="24">
        <f>IFERROR(_xlfn.XLOOKUP($A47,Database!$A$2:$A$100,Database!B$2:B$100)*$B47,0)</f>
        <v>0</v>
      </c>
      <c r="D47" s="24">
        <f>IFERROR(_xlfn.XLOOKUP($A47,Database!$A$2:$A$100,Database!C$2:C$100)*$B47,0)</f>
        <v>0</v>
      </c>
      <c r="E47" s="24">
        <f>IFERROR(_xlfn.XLOOKUP($A47,Database!$A$2:$A$100,Database!D$2:D$100)*$B47,0)</f>
        <v>0</v>
      </c>
      <c r="F47" s="24">
        <f>IFERROR(_xlfn.XLOOKUP($A47,Database!$A$2:$A$100,Database!E$2:E$100)*$B47,0)</f>
        <v>0</v>
      </c>
      <c r="G47" s="24">
        <f>IFERROR(_xlfn.XLOOKUP($A47,Database!$A$2:$A$100,Database!F$2:F$100)*$B47,0)</f>
        <v>0</v>
      </c>
      <c r="H47" s="24">
        <f>IFERROR(_xlfn.XLOOKUP($A47,Database!$A$2:$A$100,Database!G$2:G$100)*$B47,0)</f>
        <v>0</v>
      </c>
      <c r="I47" s="24">
        <f>IFERROR(_xlfn.XLOOKUP($A47,Database!$A$2:$A$100,Database!H$2:H$100)*$B47,0)</f>
        <v>0</v>
      </c>
      <c r="J47" s="24">
        <f>IFERROR(_xlfn.XLOOKUP($A47,Database!$A$2:$A$100,Database!I$2:I$100)*$B47,0)</f>
        <v>0</v>
      </c>
    </row>
    <row r="48" spans="1:10" x14ac:dyDescent="0.25">
      <c r="A48" s="22"/>
      <c r="B48" s="33"/>
      <c r="C48" s="24">
        <f>IFERROR(_xlfn.XLOOKUP($A48,Database!$A$2:$A$100,Database!B$2:B$100)*$B48,0)</f>
        <v>0</v>
      </c>
      <c r="D48" s="24">
        <f>IFERROR(_xlfn.XLOOKUP($A48,Database!$A$2:$A$100,Database!C$2:C$100)*$B48,0)</f>
        <v>0</v>
      </c>
      <c r="E48" s="24">
        <f>IFERROR(_xlfn.XLOOKUP($A48,Database!$A$2:$A$100,Database!D$2:D$100)*$B48,0)</f>
        <v>0</v>
      </c>
      <c r="F48" s="24">
        <f>IFERROR(_xlfn.XLOOKUP($A48,Database!$A$2:$A$100,Database!E$2:E$100)*$B48,0)</f>
        <v>0</v>
      </c>
      <c r="G48" s="24">
        <f>IFERROR(_xlfn.XLOOKUP($A48,Database!$A$2:$A$100,Database!F$2:F$100)*$B48,0)</f>
        <v>0</v>
      </c>
      <c r="H48" s="24">
        <f>IFERROR(_xlfn.XLOOKUP($A48,Database!$A$2:$A$100,Database!G$2:G$100)*$B48,0)</f>
        <v>0</v>
      </c>
      <c r="I48" s="24">
        <f>IFERROR(_xlfn.XLOOKUP($A48,Database!$A$2:$A$100,Database!H$2:H$100)*$B48,0)</f>
        <v>0</v>
      </c>
      <c r="J48" s="24">
        <f>IFERROR(_xlfn.XLOOKUP($A48,Database!$A$2:$A$100,Database!I$2:I$100)*$B48,0)</f>
        <v>0</v>
      </c>
    </row>
    <row r="49" spans="1:10" x14ac:dyDescent="0.25">
      <c r="A49" s="22"/>
      <c r="B49" s="33"/>
      <c r="C49" s="24">
        <f>IFERROR(_xlfn.XLOOKUP($A49,Database!$A$2:$A$100,Database!B$2:B$100)*$B49,0)</f>
        <v>0</v>
      </c>
      <c r="D49" s="24">
        <f>IFERROR(_xlfn.XLOOKUP($A49,Database!$A$2:$A$100,Database!C$2:C$100)*$B49,0)</f>
        <v>0</v>
      </c>
      <c r="E49" s="24">
        <f>IFERROR(_xlfn.XLOOKUP($A49,Database!$A$2:$A$100,Database!D$2:D$100)*$B49,0)</f>
        <v>0</v>
      </c>
      <c r="F49" s="24">
        <f>IFERROR(_xlfn.XLOOKUP($A49,Database!$A$2:$A$100,Database!E$2:E$100)*$B49,0)</f>
        <v>0</v>
      </c>
      <c r="G49" s="24">
        <f>IFERROR(_xlfn.XLOOKUP($A49,Database!$A$2:$A$100,Database!F$2:F$100)*$B49,0)</f>
        <v>0</v>
      </c>
      <c r="H49" s="24">
        <f>IFERROR(_xlfn.XLOOKUP($A49,Database!$A$2:$A$100,Database!G$2:G$100)*$B49,0)</f>
        <v>0</v>
      </c>
      <c r="I49" s="24">
        <f>IFERROR(_xlfn.XLOOKUP($A49,Database!$A$2:$A$100,Database!H$2:H$100)*$B49,0)</f>
        <v>0</v>
      </c>
      <c r="J49" s="24">
        <f>IFERROR(_xlfn.XLOOKUP($A49,Database!$A$2:$A$100,Database!I$2:I$100)*$B49,0)</f>
        <v>0</v>
      </c>
    </row>
    <row r="50" spans="1:10" x14ac:dyDescent="0.25">
      <c r="A50" s="22"/>
      <c r="B50" s="33"/>
      <c r="C50" s="24">
        <f>IFERROR(_xlfn.XLOOKUP($A50,Database!$A$2:$A$100,Database!B$2:B$100)*$B50,0)</f>
        <v>0</v>
      </c>
      <c r="D50" s="24">
        <f>IFERROR(_xlfn.XLOOKUP($A50,Database!$A$2:$A$100,Database!C$2:C$100)*$B50,0)</f>
        <v>0</v>
      </c>
      <c r="E50" s="24">
        <f>IFERROR(_xlfn.XLOOKUP($A50,Database!$A$2:$A$100,Database!D$2:D$100)*$B50,0)</f>
        <v>0</v>
      </c>
      <c r="F50" s="24">
        <f>IFERROR(_xlfn.XLOOKUP($A50,Database!$A$2:$A$100,Database!E$2:E$100)*$B50,0)</f>
        <v>0</v>
      </c>
      <c r="G50" s="24">
        <f>IFERROR(_xlfn.XLOOKUP($A50,Database!$A$2:$A$100,Database!F$2:F$100)*$B50,0)</f>
        <v>0</v>
      </c>
      <c r="H50" s="24">
        <f>IFERROR(_xlfn.XLOOKUP($A50,Database!$A$2:$A$100,Database!G$2:G$100)*$B50,0)</f>
        <v>0</v>
      </c>
      <c r="I50" s="24">
        <f>IFERROR(_xlfn.XLOOKUP($A50,Database!$A$2:$A$100,Database!H$2:H$100)*$B50,0)</f>
        <v>0</v>
      </c>
      <c r="J50" s="24">
        <f>IFERROR(_xlfn.XLOOKUP($A50,Database!$A$2:$A$100,Database!I$2:I$100)*$B50,0)</f>
        <v>0</v>
      </c>
    </row>
    <row r="51" spans="1:10" x14ac:dyDescent="0.25">
      <c r="A51" s="22"/>
      <c r="B51" s="33"/>
      <c r="C51" s="24">
        <f>IFERROR(_xlfn.XLOOKUP($A51,Database!$A$2:$A$100,Database!B$2:B$100)*$B51,0)</f>
        <v>0</v>
      </c>
      <c r="D51" s="24">
        <f>IFERROR(_xlfn.XLOOKUP($A51,Database!$A$2:$A$100,Database!C$2:C$100)*$B51,0)</f>
        <v>0</v>
      </c>
      <c r="E51" s="24">
        <f>IFERROR(_xlfn.XLOOKUP($A51,Database!$A$2:$A$100,Database!D$2:D$100)*$B51,0)</f>
        <v>0</v>
      </c>
      <c r="F51" s="24">
        <f>IFERROR(_xlfn.XLOOKUP($A51,Database!$A$2:$A$100,Database!E$2:E$100)*$B51,0)</f>
        <v>0</v>
      </c>
      <c r="G51" s="24">
        <f>IFERROR(_xlfn.XLOOKUP($A51,Database!$A$2:$A$100,Database!F$2:F$100)*$B51,0)</f>
        <v>0</v>
      </c>
      <c r="H51" s="24">
        <f>IFERROR(_xlfn.XLOOKUP($A51,Database!$A$2:$A$100,Database!G$2:G$100)*$B51,0)</f>
        <v>0</v>
      </c>
      <c r="I51" s="24">
        <f>IFERROR(_xlfn.XLOOKUP($A51,Database!$A$2:$A$100,Database!H$2:H$100)*$B51,0)</f>
        <v>0</v>
      </c>
      <c r="J51" s="24">
        <f>IFERROR(_xlfn.XLOOKUP($A51,Database!$A$2:$A$100,Database!I$2:I$100)*$B51,0)</f>
        <v>0</v>
      </c>
    </row>
    <row r="52" spans="1:10" x14ac:dyDescent="0.25">
      <c r="A52" s="22"/>
      <c r="B52" s="33"/>
      <c r="C52" s="24">
        <f>IFERROR(_xlfn.XLOOKUP($A52,Database!$A$2:$A$100,Database!B$2:B$100)*$B52,0)</f>
        <v>0</v>
      </c>
      <c r="D52" s="24">
        <f>IFERROR(_xlfn.XLOOKUP($A52,Database!$A$2:$A$100,Database!C$2:C$100)*$B52,0)</f>
        <v>0</v>
      </c>
      <c r="E52" s="24">
        <f>IFERROR(_xlfn.XLOOKUP($A52,Database!$A$2:$A$100,Database!D$2:D$100)*$B52,0)</f>
        <v>0</v>
      </c>
      <c r="F52" s="24">
        <f>IFERROR(_xlfn.XLOOKUP($A52,Database!$A$2:$A$100,Database!E$2:E$100)*$B52,0)</f>
        <v>0</v>
      </c>
      <c r="G52" s="24">
        <f>IFERROR(_xlfn.XLOOKUP($A52,Database!$A$2:$A$100,Database!F$2:F$100)*$B52,0)</f>
        <v>0</v>
      </c>
      <c r="H52" s="24">
        <f>IFERROR(_xlfn.XLOOKUP($A52,Database!$A$2:$A$100,Database!G$2:G$100)*$B52,0)</f>
        <v>0</v>
      </c>
      <c r="I52" s="24">
        <f>IFERROR(_xlfn.XLOOKUP($A52,Database!$A$2:$A$100,Database!H$2:H$100)*$B52,0)</f>
        <v>0</v>
      </c>
      <c r="J52" s="24">
        <f>IFERROR(_xlfn.XLOOKUP($A52,Database!$A$2:$A$100,Database!I$2:I$100)*$B52,0)</f>
        <v>0</v>
      </c>
    </row>
    <row r="53" spans="1:10" x14ac:dyDescent="0.25">
      <c r="A53" s="22"/>
      <c r="B53" s="33"/>
      <c r="C53" s="24">
        <f>IFERROR(_xlfn.XLOOKUP($A53,Database!$A$2:$A$100,Database!B$2:B$100)*$B53,0)</f>
        <v>0</v>
      </c>
      <c r="D53" s="24">
        <f>IFERROR(_xlfn.XLOOKUP($A53,Database!$A$2:$A$100,Database!C$2:C$100)*$B53,0)</f>
        <v>0</v>
      </c>
      <c r="E53" s="24">
        <f>IFERROR(_xlfn.XLOOKUP($A53,Database!$A$2:$A$100,Database!D$2:D$100)*$B53,0)</f>
        <v>0</v>
      </c>
      <c r="F53" s="24">
        <f>IFERROR(_xlfn.XLOOKUP($A53,Database!$A$2:$A$100,Database!E$2:E$100)*$B53,0)</f>
        <v>0</v>
      </c>
      <c r="G53" s="24">
        <f>IFERROR(_xlfn.XLOOKUP($A53,Database!$A$2:$A$100,Database!F$2:F$100)*$B53,0)</f>
        <v>0</v>
      </c>
      <c r="H53" s="24">
        <f>IFERROR(_xlfn.XLOOKUP($A53,Database!$A$2:$A$100,Database!G$2:G$100)*$B53,0)</f>
        <v>0</v>
      </c>
      <c r="I53" s="24">
        <f>IFERROR(_xlfn.XLOOKUP($A53,Database!$A$2:$A$100,Database!H$2:H$100)*$B53,0)</f>
        <v>0</v>
      </c>
      <c r="J53" s="24">
        <f>IFERROR(_xlfn.XLOOKUP($A53,Database!$A$2:$A$100,Database!I$2:I$100)*$B53,0)</f>
        <v>0</v>
      </c>
    </row>
    <row r="54" spans="1:10" x14ac:dyDescent="0.25">
      <c r="A54" s="22"/>
      <c r="B54" s="33"/>
      <c r="C54" s="24">
        <f>IFERROR(_xlfn.XLOOKUP($A54,Database!$A$2:$A$100,Database!B$2:B$100)*$B54,0)</f>
        <v>0</v>
      </c>
      <c r="D54" s="24">
        <f>IFERROR(_xlfn.XLOOKUP($A54,Database!$A$2:$A$100,Database!C$2:C$100)*$B54,0)</f>
        <v>0</v>
      </c>
      <c r="E54" s="24">
        <f>IFERROR(_xlfn.XLOOKUP($A54,Database!$A$2:$A$100,Database!D$2:D$100)*$B54,0)</f>
        <v>0</v>
      </c>
      <c r="F54" s="24">
        <f>IFERROR(_xlfn.XLOOKUP($A54,Database!$A$2:$A$100,Database!E$2:E$100)*$B54,0)</f>
        <v>0</v>
      </c>
      <c r="G54" s="24">
        <f>IFERROR(_xlfn.XLOOKUP($A54,Database!$A$2:$A$100,Database!F$2:F$100)*$B54,0)</f>
        <v>0</v>
      </c>
      <c r="H54" s="24">
        <f>IFERROR(_xlfn.XLOOKUP($A54,Database!$A$2:$A$100,Database!G$2:G$100)*$B54,0)</f>
        <v>0</v>
      </c>
      <c r="I54" s="24">
        <f>IFERROR(_xlfn.XLOOKUP($A54,Database!$A$2:$A$100,Database!H$2:H$100)*$B54,0)</f>
        <v>0</v>
      </c>
      <c r="J54" s="24">
        <f>IFERROR(_xlfn.XLOOKUP($A54,Database!$A$2:$A$100,Database!I$2:I$100)*$B54,0)</f>
        <v>0</v>
      </c>
    </row>
    <row r="55" spans="1:10" x14ac:dyDescent="0.25">
      <c r="A55" s="22"/>
      <c r="B55" s="33"/>
      <c r="C55" s="24">
        <f>IFERROR(_xlfn.XLOOKUP($A55,Database!$A$2:$A$100,Database!B$2:B$100)*$B55,0)</f>
        <v>0</v>
      </c>
      <c r="D55" s="24">
        <f>IFERROR(_xlfn.XLOOKUP($A55,Database!$A$2:$A$100,Database!C$2:C$100)*$B55,0)</f>
        <v>0</v>
      </c>
      <c r="E55" s="24">
        <f>IFERROR(_xlfn.XLOOKUP($A55,Database!$A$2:$A$100,Database!D$2:D$100)*$B55,0)</f>
        <v>0</v>
      </c>
      <c r="F55" s="24">
        <f>IFERROR(_xlfn.XLOOKUP($A55,Database!$A$2:$A$100,Database!E$2:E$100)*$B55,0)</f>
        <v>0</v>
      </c>
      <c r="G55" s="24">
        <f>IFERROR(_xlfn.XLOOKUP($A55,Database!$A$2:$A$100,Database!F$2:F$100)*$B55,0)</f>
        <v>0</v>
      </c>
      <c r="H55" s="24">
        <f>IFERROR(_xlfn.XLOOKUP($A55,Database!$A$2:$A$100,Database!G$2:G$100)*$B55,0)</f>
        <v>0</v>
      </c>
      <c r="I55" s="24">
        <f>IFERROR(_xlfn.XLOOKUP($A55,Database!$A$2:$A$100,Database!H$2:H$100)*$B55,0)</f>
        <v>0</v>
      </c>
      <c r="J55" s="24">
        <f>IFERROR(_xlfn.XLOOKUP($A55,Database!$A$2:$A$100,Database!I$2:I$100)*$B55,0)</f>
        <v>0</v>
      </c>
    </row>
    <row r="56" spans="1:10" x14ac:dyDescent="0.25">
      <c r="A56" s="22"/>
      <c r="B56" s="33"/>
      <c r="C56" s="24">
        <f>IFERROR(_xlfn.XLOOKUP($A56,Database!$A$2:$A$100,Database!B$2:B$100)*$B56,0)</f>
        <v>0</v>
      </c>
      <c r="D56" s="24">
        <f>IFERROR(_xlfn.XLOOKUP($A56,Database!$A$2:$A$100,Database!C$2:C$100)*$B56,0)</f>
        <v>0</v>
      </c>
      <c r="E56" s="24">
        <f>IFERROR(_xlfn.XLOOKUP($A56,Database!$A$2:$A$100,Database!D$2:D$100)*$B56,0)</f>
        <v>0</v>
      </c>
      <c r="F56" s="24">
        <f>IFERROR(_xlfn.XLOOKUP($A56,Database!$A$2:$A$100,Database!E$2:E$100)*$B56,0)</f>
        <v>0</v>
      </c>
      <c r="G56" s="24">
        <f>IFERROR(_xlfn.XLOOKUP($A56,Database!$A$2:$A$100,Database!F$2:F$100)*$B56,0)</f>
        <v>0</v>
      </c>
      <c r="H56" s="24">
        <f>IFERROR(_xlfn.XLOOKUP($A56,Database!$A$2:$A$100,Database!G$2:G$100)*$B56,0)</f>
        <v>0</v>
      </c>
      <c r="I56" s="24">
        <f>IFERROR(_xlfn.XLOOKUP($A56,Database!$A$2:$A$100,Database!H$2:H$100)*$B56,0)</f>
        <v>0</v>
      </c>
      <c r="J56" s="24">
        <f>IFERROR(_xlfn.XLOOKUP($A56,Database!$A$2:$A$100,Database!I$2:I$100)*$B56,0)</f>
        <v>0</v>
      </c>
    </row>
    <row r="57" spans="1:10" x14ac:dyDescent="0.25">
      <c r="A57" s="22"/>
      <c r="B57" s="33"/>
      <c r="C57" s="24">
        <f>IFERROR(_xlfn.XLOOKUP($A57,Database!$A$2:$A$100,Database!B$2:B$100)*$B57,0)</f>
        <v>0</v>
      </c>
      <c r="D57" s="24">
        <f>IFERROR(_xlfn.XLOOKUP($A57,Database!$A$2:$A$100,Database!C$2:C$100)*$B57,0)</f>
        <v>0</v>
      </c>
      <c r="E57" s="24">
        <f>IFERROR(_xlfn.XLOOKUP($A57,Database!$A$2:$A$100,Database!D$2:D$100)*$B57,0)</f>
        <v>0</v>
      </c>
      <c r="F57" s="24">
        <f>IFERROR(_xlfn.XLOOKUP($A57,Database!$A$2:$A$100,Database!E$2:E$100)*$B57,0)</f>
        <v>0</v>
      </c>
      <c r="G57" s="24">
        <f>IFERROR(_xlfn.XLOOKUP($A57,Database!$A$2:$A$100,Database!F$2:F$100)*$B57,0)</f>
        <v>0</v>
      </c>
      <c r="H57" s="24">
        <f>IFERROR(_xlfn.XLOOKUP($A57,Database!$A$2:$A$100,Database!G$2:G$100)*$B57,0)</f>
        <v>0</v>
      </c>
      <c r="I57" s="24">
        <f>IFERROR(_xlfn.XLOOKUP($A57,Database!$A$2:$A$100,Database!H$2:H$100)*$B57,0)</f>
        <v>0</v>
      </c>
      <c r="J57" s="24">
        <f>IFERROR(_xlfn.XLOOKUP($A57,Database!$A$2:$A$100,Database!I$2:I$100)*$B57,0)</f>
        <v>0</v>
      </c>
    </row>
    <row r="58" spans="1:10" x14ac:dyDescent="0.25">
      <c r="A58" s="22"/>
      <c r="B58" s="33"/>
      <c r="C58" s="24">
        <f>IFERROR(_xlfn.XLOOKUP($A58,Database!$A$2:$A$100,Database!B$2:B$100)*$B58,0)</f>
        <v>0</v>
      </c>
      <c r="D58" s="24">
        <f>IFERROR(_xlfn.XLOOKUP($A58,Database!$A$2:$A$100,Database!C$2:C$100)*$B58,0)</f>
        <v>0</v>
      </c>
      <c r="E58" s="24">
        <f>IFERROR(_xlfn.XLOOKUP($A58,Database!$A$2:$A$100,Database!D$2:D$100)*$B58,0)</f>
        <v>0</v>
      </c>
      <c r="F58" s="24">
        <f>IFERROR(_xlfn.XLOOKUP($A58,Database!$A$2:$A$100,Database!E$2:E$100)*$B58,0)</f>
        <v>0</v>
      </c>
      <c r="G58" s="24">
        <f>IFERROR(_xlfn.XLOOKUP($A58,Database!$A$2:$A$100,Database!F$2:F$100)*$B58,0)</f>
        <v>0</v>
      </c>
      <c r="H58" s="24">
        <f>IFERROR(_xlfn.XLOOKUP($A58,Database!$A$2:$A$100,Database!G$2:G$100)*$B58,0)</f>
        <v>0</v>
      </c>
      <c r="I58" s="24">
        <f>IFERROR(_xlfn.XLOOKUP($A58,Database!$A$2:$A$100,Database!H$2:H$100)*$B58,0)</f>
        <v>0</v>
      </c>
      <c r="J58" s="24">
        <f>IFERROR(_xlfn.XLOOKUP($A58,Database!$A$2:$A$100,Database!I$2:I$100)*$B58,0)</f>
        <v>0</v>
      </c>
    </row>
    <row r="59" spans="1:10" x14ac:dyDescent="0.25">
      <c r="A59" s="22"/>
      <c r="B59" s="33"/>
      <c r="C59" s="24">
        <f>IFERROR(_xlfn.XLOOKUP($A59,Database!$A$2:$A$100,Database!B$2:B$100)*$B59,0)</f>
        <v>0</v>
      </c>
      <c r="D59" s="24">
        <f>IFERROR(_xlfn.XLOOKUP($A59,Database!$A$2:$A$100,Database!C$2:C$100)*$B59,0)</f>
        <v>0</v>
      </c>
      <c r="E59" s="24">
        <f>IFERROR(_xlfn.XLOOKUP($A59,Database!$A$2:$A$100,Database!D$2:D$100)*$B59,0)</f>
        <v>0</v>
      </c>
      <c r="F59" s="24">
        <f>IFERROR(_xlfn.XLOOKUP($A59,Database!$A$2:$A$100,Database!E$2:E$100)*$B59,0)</f>
        <v>0</v>
      </c>
      <c r="G59" s="24">
        <f>IFERROR(_xlfn.XLOOKUP($A59,Database!$A$2:$A$100,Database!F$2:F$100)*$B59,0)</f>
        <v>0</v>
      </c>
      <c r="H59" s="24">
        <f>IFERROR(_xlfn.XLOOKUP($A59,Database!$A$2:$A$100,Database!G$2:G$100)*$B59,0)</f>
        <v>0</v>
      </c>
      <c r="I59" s="24">
        <f>IFERROR(_xlfn.XLOOKUP($A59,Database!$A$2:$A$100,Database!H$2:H$100)*$B59,0)</f>
        <v>0</v>
      </c>
      <c r="J59" s="24">
        <f>IFERROR(_xlfn.XLOOKUP($A59,Database!$A$2:$A$100,Database!I$2:I$100)*$B59,0)</f>
        <v>0</v>
      </c>
    </row>
    <row r="60" spans="1:10" x14ac:dyDescent="0.25">
      <c r="A60" s="22"/>
      <c r="B60" s="33"/>
      <c r="C60" s="24">
        <f>IFERROR(_xlfn.XLOOKUP($A60,Database!$A$2:$A$100,Database!B$2:B$100)*$B60,0)</f>
        <v>0</v>
      </c>
      <c r="D60" s="24">
        <f>IFERROR(_xlfn.XLOOKUP($A60,Database!$A$2:$A$100,Database!C$2:C$100)*$B60,0)</f>
        <v>0</v>
      </c>
      <c r="E60" s="24">
        <f>IFERROR(_xlfn.XLOOKUP($A60,Database!$A$2:$A$100,Database!D$2:D$100)*$B60,0)</f>
        <v>0</v>
      </c>
      <c r="F60" s="24">
        <f>IFERROR(_xlfn.XLOOKUP($A60,Database!$A$2:$A$100,Database!E$2:E$100)*$B60,0)</f>
        <v>0</v>
      </c>
      <c r="G60" s="24">
        <f>IFERROR(_xlfn.XLOOKUP($A60,Database!$A$2:$A$100,Database!F$2:F$100)*$B60,0)</f>
        <v>0</v>
      </c>
      <c r="H60" s="24">
        <f>IFERROR(_xlfn.XLOOKUP($A60,Database!$A$2:$A$100,Database!G$2:G$100)*$B60,0)</f>
        <v>0</v>
      </c>
      <c r="I60" s="24">
        <f>IFERROR(_xlfn.XLOOKUP($A60,Database!$A$2:$A$100,Database!H$2:H$100)*$B60,0)</f>
        <v>0</v>
      </c>
      <c r="J60" s="24">
        <f>IFERROR(_xlfn.XLOOKUP($A60,Database!$A$2:$A$100,Database!I$2:I$100)*$B60,0)</f>
        <v>0</v>
      </c>
    </row>
    <row r="61" spans="1:10" x14ac:dyDescent="0.25">
      <c r="A61" s="22"/>
      <c r="B61" s="33"/>
      <c r="C61" s="24">
        <f>IFERROR(_xlfn.XLOOKUP($A61,Database!$A$2:$A$100,Database!B$2:B$100)*$B61,0)</f>
        <v>0</v>
      </c>
      <c r="D61" s="24">
        <f>IFERROR(_xlfn.XLOOKUP($A61,Database!$A$2:$A$100,Database!C$2:C$100)*$B61,0)</f>
        <v>0</v>
      </c>
      <c r="E61" s="24">
        <f>IFERROR(_xlfn.XLOOKUP($A61,Database!$A$2:$A$100,Database!D$2:D$100)*$B61,0)</f>
        <v>0</v>
      </c>
      <c r="F61" s="24">
        <f>IFERROR(_xlfn.XLOOKUP($A61,Database!$A$2:$A$100,Database!E$2:E$100)*$B61,0)</f>
        <v>0</v>
      </c>
      <c r="G61" s="24">
        <f>IFERROR(_xlfn.XLOOKUP($A61,Database!$A$2:$A$100,Database!F$2:F$100)*$B61,0)</f>
        <v>0</v>
      </c>
      <c r="H61" s="24">
        <f>IFERROR(_xlfn.XLOOKUP($A61,Database!$A$2:$A$100,Database!G$2:G$100)*$B61,0)</f>
        <v>0</v>
      </c>
      <c r="I61" s="24">
        <f>IFERROR(_xlfn.XLOOKUP($A61,Database!$A$2:$A$100,Database!H$2:H$100)*$B61,0)</f>
        <v>0</v>
      </c>
      <c r="J61" s="24">
        <f>IFERROR(_xlfn.XLOOKUP($A61,Database!$A$2:$A$100,Database!I$2:I$100)*$B61,0)</f>
        <v>0</v>
      </c>
    </row>
    <row r="62" spans="1:10" x14ac:dyDescent="0.25">
      <c r="A62" s="22"/>
      <c r="B62" s="33"/>
      <c r="C62" s="24">
        <f>IFERROR(_xlfn.XLOOKUP($A62,Database!$A$2:$A$100,Database!B$2:B$100)*$B62,0)</f>
        <v>0</v>
      </c>
      <c r="D62" s="24">
        <f>IFERROR(_xlfn.XLOOKUP($A62,Database!$A$2:$A$100,Database!C$2:C$100)*$B62,0)</f>
        <v>0</v>
      </c>
      <c r="E62" s="24">
        <f>IFERROR(_xlfn.XLOOKUP($A62,Database!$A$2:$A$100,Database!D$2:D$100)*$B62,0)</f>
        <v>0</v>
      </c>
      <c r="F62" s="24">
        <f>IFERROR(_xlfn.XLOOKUP($A62,Database!$A$2:$A$100,Database!E$2:E$100)*$B62,0)</f>
        <v>0</v>
      </c>
      <c r="G62" s="24">
        <f>IFERROR(_xlfn.XLOOKUP($A62,Database!$A$2:$A$100,Database!F$2:F$100)*$B62,0)</f>
        <v>0</v>
      </c>
      <c r="H62" s="24">
        <f>IFERROR(_xlfn.XLOOKUP($A62,Database!$A$2:$A$100,Database!G$2:G$100)*$B62,0)</f>
        <v>0</v>
      </c>
      <c r="I62" s="24">
        <f>IFERROR(_xlfn.XLOOKUP($A62,Database!$A$2:$A$100,Database!H$2:H$100)*$B62,0)</f>
        <v>0</v>
      </c>
      <c r="J62" s="24">
        <f>IFERROR(_xlfn.XLOOKUP($A62,Database!$A$2:$A$100,Database!I$2:I$100)*$B62,0)</f>
        <v>0</v>
      </c>
    </row>
    <row r="63" spans="1:10" x14ac:dyDescent="0.25">
      <c r="A63" s="22"/>
      <c r="B63" s="33"/>
      <c r="C63" s="24">
        <f>IFERROR(_xlfn.XLOOKUP($A63,Database!$A$2:$A$100,Database!B$2:B$100)*$B63,0)</f>
        <v>0</v>
      </c>
      <c r="D63" s="24">
        <f>IFERROR(_xlfn.XLOOKUP($A63,Database!$A$2:$A$100,Database!C$2:C$100)*$B63,0)</f>
        <v>0</v>
      </c>
      <c r="E63" s="24">
        <f>IFERROR(_xlfn.XLOOKUP($A63,Database!$A$2:$A$100,Database!D$2:D$100)*$B63,0)</f>
        <v>0</v>
      </c>
      <c r="F63" s="24">
        <f>IFERROR(_xlfn.XLOOKUP($A63,Database!$A$2:$A$100,Database!E$2:E$100)*$B63,0)</f>
        <v>0</v>
      </c>
      <c r="G63" s="24">
        <f>IFERROR(_xlfn.XLOOKUP($A63,Database!$A$2:$A$100,Database!F$2:F$100)*$B63,0)</f>
        <v>0</v>
      </c>
      <c r="H63" s="24">
        <f>IFERROR(_xlfn.XLOOKUP($A63,Database!$A$2:$A$100,Database!G$2:G$100)*$B63,0)</f>
        <v>0</v>
      </c>
      <c r="I63" s="24">
        <f>IFERROR(_xlfn.XLOOKUP($A63,Database!$A$2:$A$100,Database!H$2:H$100)*$B63,0)</f>
        <v>0</v>
      </c>
      <c r="J63" s="24">
        <f>IFERROR(_xlfn.XLOOKUP($A63,Database!$A$2:$A$100,Database!I$2:I$100)*$B63,0)</f>
        <v>0</v>
      </c>
    </row>
    <row r="64" spans="1:10" x14ac:dyDescent="0.25">
      <c r="A64" s="22"/>
      <c r="B64" s="33"/>
      <c r="C64" s="24">
        <f>IFERROR(_xlfn.XLOOKUP($A64,Database!$A$2:$A$100,Database!B$2:B$100)*$B64,0)</f>
        <v>0</v>
      </c>
      <c r="D64" s="24">
        <f>IFERROR(_xlfn.XLOOKUP($A64,Database!$A$2:$A$100,Database!C$2:C$100)*$B64,0)</f>
        <v>0</v>
      </c>
      <c r="E64" s="24">
        <f>IFERROR(_xlfn.XLOOKUP($A64,Database!$A$2:$A$100,Database!D$2:D$100)*$B64,0)</f>
        <v>0</v>
      </c>
      <c r="F64" s="24">
        <f>IFERROR(_xlfn.XLOOKUP($A64,Database!$A$2:$A$100,Database!E$2:E$100)*$B64,0)</f>
        <v>0</v>
      </c>
      <c r="G64" s="24">
        <f>IFERROR(_xlfn.XLOOKUP($A64,Database!$A$2:$A$100,Database!F$2:F$100)*$B64,0)</f>
        <v>0</v>
      </c>
      <c r="H64" s="24">
        <f>IFERROR(_xlfn.XLOOKUP($A64,Database!$A$2:$A$100,Database!G$2:G$100)*$B64,0)</f>
        <v>0</v>
      </c>
      <c r="I64" s="24">
        <f>IFERROR(_xlfn.XLOOKUP($A64,Database!$A$2:$A$100,Database!H$2:H$100)*$B64,0)</f>
        <v>0</v>
      </c>
      <c r="J64" s="24">
        <f>IFERROR(_xlfn.XLOOKUP($A64,Database!$A$2:$A$100,Database!I$2:I$100)*$B64,0)</f>
        <v>0</v>
      </c>
    </row>
    <row r="65" spans="1:10" x14ac:dyDescent="0.25">
      <c r="A65" s="22"/>
      <c r="B65" s="33"/>
      <c r="C65" s="24">
        <f>IFERROR(_xlfn.XLOOKUP($A65,Database!$A$2:$A$100,Database!B$2:B$100)*$B65,0)</f>
        <v>0</v>
      </c>
      <c r="D65" s="24">
        <f>IFERROR(_xlfn.XLOOKUP($A65,Database!$A$2:$A$100,Database!C$2:C$100)*$B65,0)</f>
        <v>0</v>
      </c>
      <c r="E65" s="24">
        <f>IFERROR(_xlfn.XLOOKUP($A65,Database!$A$2:$A$100,Database!D$2:D$100)*$B65,0)</f>
        <v>0</v>
      </c>
      <c r="F65" s="24">
        <f>IFERROR(_xlfn.XLOOKUP($A65,Database!$A$2:$A$100,Database!E$2:E$100)*$B65,0)</f>
        <v>0</v>
      </c>
      <c r="G65" s="24">
        <f>IFERROR(_xlfn.XLOOKUP($A65,Database!$A$2:$A$100,Database!F$2:F$100)*$B65,0)</f>
        <v>0</v>
      </c>
      <c r="H65" s="24">
        <f>IFERROR(_xlfn.XLOOKUP($A65,Database!$A$2:$A$100,Database!G$2:G$100)*$B65,0)</f>
        <v>0</v>
      </c>
      <c r="I65" s="24">
        <f>IFERROR(_xlfn.XLOOKUP($A65,Database!$A$2:$A$100,Database!H$2:H$100)*$B65,0)</f>
        <v>0</v>
      </c>
      <c r="J65" s="24">
        <f>IFERROR(_xlfn.XLOOKUP($A65,Database!$A$2:$A$100,Database!I$2:I$100)*$B65,0)</f>
        <v>0</v>
      </c>
    </row>
    <row r="66" spans="1:10" x14ac:dyDescent="0.25">
      <c r="A66" s="22"/>
      <c r="B66" s="33"/>
      <c r="C66" s="24">
        <f>IFERROR(_xlfn.XLOOKUP($A66,Database!$A$2:$A$100,Database!B$2:B$100)*$B66,0)</f>
        <v>0</v>
      </c>
      <c r="D66" s="24">
        <f>IFERROR(_xlfn.XLOOKUP($A66,Database!$A$2:$A$100,Database!C$2:C$100)*$B66,0)</f>
        <v>0</v>
      </c>
      <c r="E66" s="24">
        <f>IFERROR(_xlfn.XLOOKUP($A66,Database!$A$2:$A$100,Database!D$2:D$100)*$B66,0)</f>
        <v>0</v>
      </c>
      <c r="F66" s="24">
        <f>IFERROR(_xlfn.XLOOKUP($A66,Database!$A$2:$A$100,Database!E$2:E$100)*$B66,0)</f>
        <v>0</v>
      </c>
      <c r="G66" s="24">
        <f>IFERROR(_xlfn.XLOOKUP($A66,Database!$A$2:$A$100,Database!F$2:F$100)*$B66,0)</f>
        <v>0</v>
      </c>
      <c r="H66" s="24">
        <f>IFERROR(_xlfn.XLOOKUP($A66,Database!$A$2:$A$100,Database!G$2:G$100)*$B66,0)</f>
        <v>0</v>
      </c>
      <c r="I66" s="24">
        <f>IFERROR(_xlfn.XLOOKUP($A66,Database!$A$2:$A$100,Database!H$2:H$100)*$B66,0)</f>
        <v>0</v>
      </c>
      <c r="J66" s="24">
        <f>IFERROR(_xlfn.XLOOKUP($A66,Database!$A$2:$A$100,Database!I$2:I$100)*$B66,0)</f>
        <v>0</v>
      </c>
    </row>
    <row r="67" spans="1:10" x14ac:dyDescent="0.25">
      <c r="A67" s="22"/>
      <c r="B67" s="33"/>
      <c r="C67" s="24">
        <f>IFERROR(_xlfn.XLOOKUP($A67,Database!$A$2:$A$100,Database!B$2:B$100)*$B67,0)</f>
        <v>0</v>
      </c>
      <c r="D67" s="24">
        <f>IFERROR(_xlfn.XLOOKUP($A67,Database!$A$2:$A$100,Database!C$2:C$100)*$B67,0)</f>
        <v>0</v>
      </c>
      <c r="E67" s="24">
        <f>IFERROR(_xlfn.XLOOKUP($A67,Database!$A$2:$A$100,Database!D$2:D$100)*$B67,0)</f>
        <v>0</v>
      </c>
      <c r="F67" s="24">
        <f>IFERROR(_xlfn.XLOOKUP($A67,Database!$A$2:$A$100,Database!E$2:E$100)*$B67,0)</f>
        <v>0</v>
      </c>
      <c r="G67" s="24">
        <f>IFERROR(_xlfn.XLOOKUP($A67,Database!$A$2:$A$100,Database!F$2:F$100)*$B67,0)</f>
        <v>0</v>
      </c>
      <c r="H67" s="24">
        <f>IFERROR(_xlfn.XLOOKUP($A67,Database!$A$2:$A$100,Database!G$2:G$100)*$B67,0)</f>
        <v>0</v>
      </c>
      <c r="I67" s="24">
        <f>IFERROR(_xlfn.XLOOKUP($A67,Database!$A$2:$A$100,Database!H$2:H$100)*$B67,0)</f>
        <v>0</v>
      </c>
      <c r="J67" s="24">
        <f>IFERROR(_xlfn.XLOOKUP($A67,Database!$A$2:$A$100,Database!I$2:I$100)*$B67,0)</f>
        <v>0</v>
      </c>
    </row>
    <row r="68" spans="1:10" x14ac:dyDescent="0.25">
      <c r="A68" s="22"/>
      <c r="B68" s="33"/>
      <c r="C68" s="24">
        <f>IFERROR(_xlfn.XLOOKUP($A68,Database!$A$2:$A$100,Database!B$2:B$100)*$B68,0)</f>
        <v>0</v>
      </c>
      <c r="D68" s="24">
        <f>IFERROR(_xlfn.XLOOKUP($A68,Database!$A$2:$A$100,Database!C$2:C$100)*$B68,0)</f>
        <v>0</v>
      </c>
      <c r="E68" s="24">
        <f>IFERROR(_xlfn.XLOOKUP($A68,Database!$A$2:$A$100,Database!D$2:D$100)*$B68,0)</f>
        <v>0</v>
      </c>
      <c r="F68" s="24">
        <f>IFERROR(_xlfn.XLOOKUP($A68,Database!$A$2:$A$100,Database!E$2:E$100)*$B68,0)</f>
        <v>0</v>
      </c>
      <c r="G68" s="24">
        <f>IFERROR(_xlfn.XLOOKUP($A68,Database!$A$2:$A$100,Database!F$2:F$100)*$B68,0)</f>
        <v>0</v>
      </c>
      <c r="H68" s="24">
        <f>IFERROR(_xlfn.XLOOKUP($A68,Database!$A$2:$A$100,Database!G$2:G$100)*$B68,0)</f>
        <v>0</v>
      </c>
      <c r="I68" s="24">
        <f>IFERROR(_xlfn.XLOOKUP($A68,Database!$A$2:$A$100,Database!H$2:H$100)*$B68,0)</f>
        <v>0</v>
      </c>
      <c r="J68" s="24">
        <f>IFERROR(_xlfn.XLOOKUP($A68,Database!$A$2:$A$100,Database!I$2:I$100)*$B68,0)</f>
        <v>0</v>
      </c>
    </row>
    <row r="69" spans="1:10" x14ac:dyDescent="0.25">
      <c r="A69" s="22"/>
      <c r="B69" s="33"/>
      <c r="C69" s="24">
        <f>IFERROR(_xlfn.XLOOKUP($A69,Database!$A$2:$A$100,Database!B$2:B$100)*$B69,0)</f>
        <v>0</v>
      </c>
      <c r="D69" s="24">
        <f>IFERROR(_xlfn.XLOOKUP($A69,Database!$A$2:$A$100,Database!C$2:C$100)*$B69,0)</f>
        <v>0</v>
      </c>
      <c r="E69" s="24">
        <f>IFERROR(_xlfn.XLOOKUP($A69,Database!$A$2:$A$100,Database!D$2:D$100)*$B69,0)</f>
        <v>0</v>
      </c>
      <c r="F69" s="24">
        <f>IFERROR(_xlfn.XLOOKUP($A69,Database!$A$2:$A$100,Database!E$2:E$100)*$B69,0)</f>
        <v>0</v>
      </c>
      <c r="G69" s="24">
        <f>IFERROR(_xlfn.XLOOKUP($A69,Database!$A$2:$A$100,Database!F$2:F$100)*$B69,0)</f>
        <v>0</v>
      </c>
      <c r="H69" s="24">
        <f>IFERROR(_xlfn.XLOOKUP($A69,Database!$A$2:$A$100,Database!G$2:G$100)*$B69,0)</f>
        <v>0</v>
      </c>
      <c r="I69" s="24">
        <f>IFERROR(_xlfn.XLOOKUP($A69,Database!$A$2:$A$100,Database!H$2:H$100)*$B69,0)</f>
        <v>0</v>
      </c>
      <c r="J69" s="24">
        <f>IFERROR(_xlfn.XLOOKUP($A69,Database!$A$2:$A$100,Database!I$2:I$100)*$B69,0)</f>
        <v>0</v>
      </c>
    </row>
    <row r="70" spans="1:10" x14ac:dyDescent="0.25">
      <c r="A70" s="22"/>
      <c r="B70" s="33"/>
      <c r="C70" s="24">
        <f>IFERROR(_xlfn.XLOOKUP($A70,Database!$A$2:$A$100,Database!B$2:B$100)*$B70,0)</f>
        <v>0</v>
      </c>
      <c r="D70" s="24">
        <f>IFERROR(_xlfn.XLOOKUP($A70,Database!$A$2:$A$100,Database!C$2:C$100)*$B70,0)</f>
        <v>0</v>
      </c>
      <c r="E70" s="24">
        <f>IFERROR(_xlfn.XLOOKUP($A70,Database!$A$2:$A$100,Database!D$2:D$100)*$B70,0)</f>
        <v>0</v>
      </c>
      <c r="F70" s="24">
        <f>IFERROR(_xlfn.XLOOKUP($A70,Database!$A$2:$A$100,Database!E$2:E$100)*$B70,0)</f>
        <v>0</v>
      </c>
      <c r="G70" s="24">
        <f>IFERROR(_xlfn.XLOOKUP($A70,Database!$A$2:$A$100,Database!F$2:F$100)*$B70,0)</f>
        <v>0</v>
      </c>
      <c r="H70" s="24">
        <f>IFERROR(_xlfn.XLOOKUP($A70,Database!$A$2:$A$100,Database!G$2:G$100)*$B70,0)</f>
        <v>0</v>
      </c>
      <c r="I70" s="24">
        <f>IFERROR(_xlfn.XLOOKUP($A70,Database!$A$2:$A$100,Database!H$2:H$100)*$B70,0)</f>
        <v>0</v>
      </c>
      <c r="J70" s="24">
        <f>IFERROR(_xlfn.XLOOKUP($A70,Database!$A$2:$A$100,Database!I$2:I$100)*$B70,0)</f>
        <v>0</v>
      </c>
    </row>
    <row r="71" spans="1:10" x14ac:dyDescent="0.25">
      <c r="A71" s="22"/>
      <c r="B71" s="33"/>
      <c r="C71" s="24">
        <f>IFERROR(_xlfn.XLOOKUP($A71,Database!$A$2:$A$100,Database!B$2:B$100)*$B71,0)</f>
        <v>0</v>
      </c>
      <c r="D71" s="24">
        <f>IFERROR(_xlfn.XLOOKUP($A71,Database!$A$2:$A$100,Database!C$2:C$100)*$B71,0)</f>
        <v>0</v>
      </c>
      <c r="E71" s="24">
        <f>IFERROR(_xlfn.XLOOKUP($A71,Database!$A$2:$A$100,Database!D$2:D$100)*$B71,0)</f>
        <v>0</v>
      </c>
      <c r="F71" s="24">
        <f>IFERROR(_xlfn.XLOOKUP($A71,Database!$A$2:$A$100,Database!E$2:E$100)*$B71,0)</f>
        <v>0</v>
      </c>
      <c r="G71" s="24">
        <f>IFERROR(_xlfn.XLOOKUP($A71,Database!$A$2:$A$100,Database!F$2:F$100)*$B71,0)</f>
        <v>0</v>
      </c>
      <c r="H71" s="24">
        <f>IFERROR(_xlfn.XLOOKUP($A71,Database!$A$2:$A$100,Database!G$2:G$100)*$B71,0)</f>
        <v>0</v>
      </c>
      <c r="I71" s="24">
        <f>IFERROR(_xlfn.XLOOKUP($A71,Database!$A$2:$A$100,Database!H$2:H$100)*$B71,0)</f>
        <v>0</v>
      </c>
      <c r="J71" s="24">
        <f>IFERROR(_xlfn.XLOOKUP($A71,Database!$A$2:$A$100,Database!I$2:I$100)*$B71,0)</f>
        <v>0</v>
      </c>
    </row>
    <row r="72" spans="1:10" x14ac:dyDescent="0.25">
      <c r="A72" s="22"/>
      <c r="B72" s="33"/>
      <c r="C72" s="24">
        <f>IFERROR(_xlfn.XLOOKUP($A72,Database!$A$2:$A$100,Database!B$2:B$100)*$B72,0)</f>
        <v>0</v>
      </c>
      <c r="D72" s="24">
        <f>IFERROR(_xlfn.XLOOKUP($A72,Database!$A$2:$A$100,Database!C$2:C$100)*$B72,0)</f>
        <v>0</v>
      </c>
      <c r="E72" s="24">
        <f>IFERROR(_xlfn.XLOOKUP($A72,Database!$A$2:$A$100,Database!D$2:D$100)*$B72,0)</f>
        <v>0</v>
      </c>
      <c r="F72" s="24">
        <f>IFERROR(_xlfn.XLOOKUP($A72,Database!$A$2:$A$100,Database!E$2:E$100)*$B72,0)</f>
        <v>0</v>
      </c>
      <c r="G72" s="24">
        <f>IFERROR(_xlfn.XLOOKUP($A72,Database!$A$2:$A$100,Database!F$2:F$100)*$B72,0)</f>
        <v>0</v>
      </c>
      <c r="H72" s="24">
        <f>IFERROR(_xlfn.XLOOKUP($A72,Database!$A$2:$A$100,Database!G$2:G$100)*$B72,0)</f>
        <v>0</v>
      </c>
      <c r="I72" s="24">
        <f>IFERROR(_xlfn.XLOOKUP($A72,Database!$A$2:$A$100,Database!H$2:H$100)*$B72,0)</f>
        <v>0</v>
      </c>
      <c r="J72" s="24">
        <f>IFERROR(_xlfn.XLOOKUP($A72,Database!$A$2:$A$100,Database!I$2:I$100)*$B72,0)</f>
        <v>0</v>
      </c>
    </row>
    <row r="73" spans="1:10" x14ac:dyDescent="0.25">
      <c r="A73" s="22"/>
      <c r="B73" s="33"/>
      <c r="C73" s="24">
        <f>IFERROR(_xlfn.XLOOKUP($A73,Database!$A$2:$A$100,Database!B$2:B$100)*$B73,0)</f>
        <v>0</v>
      </c>
      <c r="D73" s="24">
        <f>IFERROR(_xlfn.XLOOKUP($A73,Database!$A$2:$A$100,Database!C$2:C$100)*$B73,0)</f>
        <v>0</v>
      </c>
      <c r="E73" s="24">
        <f>IFERROR(_xlfn.XLOOKUP($A73,Database!$A$2:$A$100,Database!D$2:D$100)*$B73,0)</f>
        <v>0</v>
      </c>
      <c r="F73" s="24">
        <f>IFERROR(_xlfn.XLOOKUP($A73,Database!$A$2:$A$100,Database!E$2:E$100)*$B73,0)</f>
        <v>0</v>
      </c>
      <c r="G73" s="24">
        <f>IFERROR(_xlfn.XLOOKUP($A73,Database!$A$2:$A$100,Database!F$2:F$100)*$B73,0)</f>
        <v>0</v>
      </c>
      <c r="H73" s="24">
        <f>IFERROR(_xlfn.XLOOKUP($A73,Database!$A$2:$A$100,Database!G$2:G$100)*$B73,0)</f>
        <v>0</v>
      </c>
      <c r="I73" s="24">
        <f>IFERROR(_xlfn.XLOOKUP($A73,Database!$A$2:$A$100,Database!H$2:H$100)*$B73,0)</f>
        <v>0</v>
      </c>
      <c r="J73" s="24">
        <f>IFERROR(_xlfn.XLOOKUP($A73,Database!$A$2:$A$100,Database!I$2:I$100)*$B73,0)</f>
        <v>0</v>
      </c>
    </row>
    <row r="74" spans="1:10" x14ac:dyDescent="0.25">
      <c r="A74" s="22"/>
      <c r="B74" s="33"/>
      <c r="C74" s="24">
        <f>IFERROR(_xlfn.XLOOKUP($A74,Database!$A$2:$A$100,Database!B$2:B$100)*$B74,0)</f>
        <v>0</v>
      </c>
      <c r="D74" s="24">
        <f>IFERROR(_xlfn.XLOOKUP($A74,Database!$A$2:$A$100,Database!C$2:C$100)*$B74,0)</f>
        <v>0</v>
      </c>
      <c r="E74" s="24">
        <f>IFERROR(_xlfn.XLOOKUP($A74,Database!$A$2:$A$100,Database!D$2:D$100)*$B74,0)</f>
        <v>0</v>
      </c>
      <c r="F74" s="24">
        <f>IFERROR(_xlfn.XLOOKUP($A74,Database!$A$2:$A$100,Database!E$2:E$100)*$B74,0)</f>
        <v>0</v>
      </c>
      <c r="G74" s="24">
        <f>IFERROR(_xlfn.XLOOKUP($A74,Database!$A$2:$A$100,Database!F$2:F$100)*$B74,0)</f>
        <v>0</v>
      </c>
      <c r="H74" s="24">
        <f>IFERROR(_xlfn.XLOOKUP($A74,Database!$A$2:$A$100,Database!G$2:G$100)*$B74,0)</f>
        <v>0</v>
      </c>
      <c r="I74" s="24">
        <f>IFERROR(_xlfn.XLOOKUP($A74,Database!$A$2:$A$100,Database!H$2:H$100)*$B74,0)</f>
        <v>0</v>
      </c>
      <c r="J74" s="24">
        <f>IFERROR(_xlfn.XLOOKUP($A74,Database!$A$2:$A$100,Database!I$2:I$100)*$B74,0)</f>
        <v>0</v>
      </c>
    </row>
    <row r="75" spans="1:10" x14ac:dyDescent="0.25">
      <c r="A75" s="22"/>
      <c r="B75" s="33"/>
      <c r="C75" s="24">
        <f>IFERROR(_xlfn.XLOOKUP($A75,Database!$A$2:$A$100,Database!B$2:B$100)*$B75,0)</f>
        <v>0</v>
      </c>
      <c r="D75" s="24">
        <f>IFERROR(_xlfn.XLOOKUP($A75,Database!$A$2:$A$100,Database!C$2:C$100)*$B75,0)</f>
        <v>0</v>
      </c>
      <c r="E75" s="24">
        <f>IFERROR(_xlfn.XLOOKUP($A75,Database!$A$2:$A$100,Database!D$2:D$100)*$B75,0)</f>
        <v>0</v>
      </c>
      <c r="F75" s="24">
        <f>IFERROR(_xlfn.XLOOKUP($A75,Database!$A$2:$A$100,Database!E$2:E$100)*$B75,0)</f>
        <v>0</v>
      </c>
      <c r="G75" s="24">
        <f>IFERROR(_xlfn.XLOOKUP($A75,Database!$A$2:$A$100,Database!F$2:F$100)*$B75,0)</f>
        <v>0</v>
      </c>
      <c r="H75" s="24">
        <f>IFERROR(_xlfn.XLOOKUP($A75,Database!$A$2:$A$100,Database!G$2:G$100)*$B75,0)</f>
        <v>0</v>
      </c>
      <c r="I75" s="24">
        <f>IFERROR(_xlfn.XLOOKUP($A75,Database!$A$2:$A$100,Database!H$2:H$100)*$B75,0)</f>
        <v>0</v>
      </c>
      <c r="J75" s="24">
        <f>IFERROR(_xlfn.XLOOKUP($A75,Database!$A$2:$A$100,Database!I$2:I$100)*$B75,0)</f>
        <v>0</v>
      </c>
    </row>
    <row r="76" spans="1:10" x14ac:dyDescent="0.25">
      <c r="A76" s="22"/>
      <c r="B76" s="33"/>
      <c r="C76" s="24">
        <f>IFERROR(_xlfn.XLOOKUP($A76,Database!$A$2:$A$100,Database!B$2:B$100)*$B76,0)</f>
        <v>0</v>
      </c>
      <c r="D76" s="24">
        <f>IFERROR(_xlfn.XLOOKUP($A76,Database!$A$2:$A$100,Database!C$2:C$100)*$B76,0)</f>
        <v>0</v>
      </c>
      <c r="E76" s="24">
        <f>IFERROR(_xlfn.XLOOKUP($A76,Database!$A$2:$A$100,Database!D$2:D$100)*$B76,0)</f>
        <v>0</v>
      </c>
      <c r="F76" s="24">
        <f>IFERROR(_xlfn.XLOOKUP($A76,Database!$A$2:$A$100,Database!E$2:E$100)*$B76,0)</f>
        <v>0</v>
      </c>
      <c r="G76" s="24">
        <f>IFERROR(_xlfn.XLOOKUP($A76,Database!$A$2:$A$100,Database!F$2:F$100)*$B76,0)</f>
        <v>0</v>
      </c>
      <c r="H76" s="24">
        <f>IFERROR(_xlfn.XLOOKUP($A76,Database!$A$2:$A$100,Database!G$2:G$100)*$B76,0)</f>
        <v>0</v>
      </c>
      <c r="I76" s="24">
        <f>IFERROR(_xlfn.XLOOKUP($A76,Database!$A$2:$A$100,Database!H$2:H$100)*$B76,0)</f>
        <v>0</v>
      </c>
      <c r="J76" s="24">
        <f>IFERROR(_xlfn.XLOOKUP($A76,Database!$A$2:$A$100,Database!I$2:I$100)*$B76,0)</f>
        <v>0</v>
      </c>
    </row>
    <row r="77" spans="1:10" x14ac:dyDescent="0.25">
      <c r="A77" s="22"/>
      <c r="B77" s="33"/>
      <c r="C77" s="24">
        <f>IFERROR(_xlfn.XLOOKUP($A77,Database!$A$2:$A$100,Database!B$2:B$100)*$B77,0)</f>
        <v>0</v>
      </c>
      <c r="D77" s="24">
        <f>IFERROR(_xlfn.XLOOKUP($A77,Database!$A$2:$A$100,Database!C$2:C$100)*$B77,0)</f>
        <v>0</v>
      </c>
      <c r="E77" s="24">
        <f>IFERROR(_xlfn.XLOOKUP($A77,Database!$A$2:$A$100,Database!D$2:D$100)*$B77,0)</f>
        <v>0</v>
      </c>
      <c r="F77" s="24">
        <f>IFERROR(_xlfn.XLOOKUP($A77,Database!$A$2:$A$100,Database!E$2:E$100)*$B77,0)</f>
        <v>0</v>
      </c>
      <c r="G77" s="24">
        <f>IFERROR(_xlfn.XLOOKUP($A77,Database!$A$2:$A$100,Database!F$2:F$100)*$B77,0)</f>
        <v>0</v>
      </c>
      <c r="H77" s="24">
        <f>IFERROR(_xlfn.XLOOKUP($A77,Database!$A$2:$A$100,Database!G$2:G$100)*$B77,0)</f>
        <v>0</v>
      </c>
      <c r="I77" s="24">
        <f>IFERROR(_xlfn.XLOOKUP($A77,Database!$A$2:$A$100,Database!H$2:H$100)*$B77,0)</f>
        <v>0</v>
      </c>
      <c r="J77" s="24">
        <f>IFERROR(_xlfn.XLOOKUP($A77,Database!$A$2:$A$100,Database!I$2:I$100)*$B77,0)</f>
        <v>0</v>
      </c>
    </row>
    <row r="78" spans="1:10" x14ac:dyDescent="0.25">
      <c r="A78" s="22"/>
      <c r="B78" s="33"/>
      <c r="C78" s="24">
        <f>IFERROR(_xlfn.XLOOKUP($A78,Database!$A$2:$A$100,Database!B$2:B$100)*$B78,0)</f>
        <v>0</v>
      </c>
      <c r="D78" s="24">
        <f>IFERROR(_xlfn.XLOOKUP($A78,Database!$A$2:$A$100,Database!C$2:C$100)*$B78,0)</f>
        <v>0</v>
      </c>
      <c r="E78" s="24">
        <f>IFERROR(_xlfn.XLOOKUP($A78,Database!$A$2:$A$100,Database!D$2:D$100)*$B78,0)</f>
        <v>0</v>
      </c>
      <c r="F78" s="24">
        <f>IFERROR(_xlfn.XLOOKUP($A78,Database!$A$2:$A$100,Database!E$2:E$100)*$B78,0)</f>
        <v>0</v>
      </c>
      <c r="G78" s="24">
        <f>IFERROR(_xlfn.XLOOKUP($A78,Database!$A$2:$A$100,Database!F$2:F$100)*$B78,0)</f>
        <v>0</v>
      </c>
      <c r="H78" s="24">
        <f>IFERROR(_xlfn.XLOOKUP($A78,Database!$A$2:$A$100,Database!G$2:G$100)*$B78,0)</f>
        <v>0</v>
      </c>
      <c r="I78" s="24">
        <f>IFERROR(_xlfn.XLOOKUP($A78,Database!$A$2:$A$100,Database!H$2:H$100)*$B78,0)</f>
        <v>0</v>
      </c>
      <c r="J78" s="24">
        <f>IFERROR(_xlfn.XLOOKUP($A78,Database!$A$2:$A$100,Database!I$2:I$100)*$B78,0)</f>
        <v>0</v>
      </c>
    </row>
    <row r="79" spans="1:10" x14ac:dyDescent="0.25">
      <c r="A79" s="22"/>
      <c r="B79" s="33"/>
      <c r="C79" s="24">
        <f>IFERROR(_xlfn.XLOOKUP($A79,Database!$A$2:$A$100,Database!B$2:B$100)*$B79,0)</f>
        <v>0</v>
      </c>
      <c r="D79" s="24">
        <f>IFERROR(_xlfn.XLOOKUP($A79,Database!$A$2:$A$100,Database!C$2:C$100)*$B79,0)</f>
        <v>0</v>
      </c>
      <c r="E79" s="24">
        <f>IFERROR(_xlfn.XLOOKUP($A79,Database!$A$2:$A$100,Database!D$2:D$100)*$B79,0)</f>
        <v>0</v>
      </c>
      <c r="F79" s="24">
        <f>IFERROR(_xlfn.XLOOKUP($A79,Database!$A$2:$A$100,Database!E$2:E$100)*$B79,0)</f>
        <v>0</v>
      </c>
      <c r="G79" s="24">
        <f>IFERROR(_xlfn.XLOOKUP($A79,Database!$A$2:$A$100,Database!F$2:F$100)*$B79,0)</f>
        <v>0</v>
      </c>
      <c r="H79" s="24">
        <f>IFERROR(_xlfn.XLOOKUP($A79,Database!$A$2:$A$100,Database!G$2:G$100)*$B79,0)</f>
        <v>0</v>
      </c>
      <c r="I79" s="24">
        <f>IFERROR(_xlfn.XLOOKUP($A79,Database!$A$2:$A$100,Database!H$2:H$100)*$B79,0)</f>
        <v>0</v>
      </c>
      <c r="J79" s="24">
        <f>IFERROR(_xlfn.XLOOKUP($A79,Database!$A$2:$A$100,Database!I$2:I$100)*$B79,0)</f>
        <v>0</v>
      </c>
    </row>
    <row r="80" spans="1:10" x14ac:dyDescent="0.25">
      <c r="A80" s="22"/>
      <c r="B80" s="33"/>
      <c r="C80" s="24">
        <f>IFERROR(_xlfn.XLOOKUP($A80,Database!$A$2:$A$100,Database!B$2:B$100)*$B80,0)</f>
        <v>0</v>
      </c>
      <c r="D80" s="24">
        <f>IFERROR(_xlfn.XLOOKUP($A80,Database!$A$2:$A$100,Database!C$2:C$100)*$B80,0)</f>
        <v>0</v>
      </c>
      <c r="E80" s="24">
        <f>IFERROR(_xlfn.XLOOKUP($A80,Database!$A$2:$A$100,Database!D$2:D$100)*$B80,0)</f>
        <v>0</v>
      </c>
      <c r="F80" s="24">
        <f>IFERROR(_xlfn.XLOOKUP($A80,Database!$A$2:$A$100,Database!E$2:E$100)*$B80,0)</f>
        <v>0</v>
      </c>
      <c r="G80" s="24">
        <f>IFERROR(_xlfn.XLOOKUP($A80,Database!$A$2:$A$100,Database!F$2:F$100)*$B80,0)</f>
        <v>0</v>
      </c>
      <c r="H80" s="24">
        <f>IFERROR(_xlfn.XLOOKUP($A80,Database!$A$2:$A$100,Database!G$2:G$100)*$B80,0)</f>
        <v>0</v>
      </c>
      <c r="I80" s="24">
        <f>IFERROR(_xlfn.XLOOKUP($A80,Database!$A$2:$A$100,Database!H$2:H$100)*$B80,0)</f>
        <v>0</v>
      </c>
      <c r="J80" s="24">
        <f>IFERROR(_xlfn.XLOOKUP($A80,Database!$A$2:$A$100,Database!I$2:I$100)*$B80,0)</f>
        <v>0</v>
      </c>
    </row>
    <row r="81" spans="1:10" x14ac:dyDescent="0.25">
      <c r="A81" s="22"/>
      <c r="B81" s="33"/>
      <c r="C81" s="24">
        <f>IFERROR(_xlfn.XLOOKUP($A81,Database!$A$2:$A$100,Database!B$2:B$100)*$B81,0)</f>
        <v>0</v>
      </c>
      <c r="D81" s="24">
        <f>IFERROR(_xlfn.XLOOKUP($A81,Database!$A$2:$A$100,Database!C$2:C$100)*$B81,0)</f>
        <v>0</v>
      </c>
      <c r="E81" s="24">
        <f>IFERROR(_xlfn.XLOOKUP($A81,Database!$A$2:$A$100,Database!D$2:D$100)*$B81,0)</f>
        <v>0</v>
      </c>
      <c r="F81" s="24">
        <f>IFERROR(_xlfn.XLOOKUP($A81,Database!$A$2:$A$100,Database!E$2:E$100)*$B81,0)</f>
        <v>0</v>
      </c>
      <c r="G81" s="24">
        <f>IFERROR(_xlfn.XLOOKUP($A81,Database!$A$2:$A$100,Database!F$2:F$100)*$B81,0)</f>
        <v>0</v>
      </c>
      <c r="H81" s="24">
        <f>IFERROR(_xlfn.XLOOKUP($A81,Database!$A$2:$A$100,Database!G$2:G$100)*$B81,0)</f>
        <v>0</v>
      </c>
      <c r="I81" s="24">
        <f>IFERROR(_xlfn.XLOOKUP($A81,Database!$A$2:$A$100,Database!H$2:H$100)*$B81,0)</f>
        <v>0</v>
      </c>
      <c r="J81" s="24">
        <f>IFERROR(_xlfn.XLOOKUP($A81,Database!$A$2:$A$100,Database!I$2:I$100)*$B81,0)</f>
        <v>0</v>
      </c>
    </row>
    <row r="82" spans="1:10" x14ac:dyDescent="0.25">
      <c r="A82" s="22"/>
      <c r="B82" s="33"/>
      <c r="C82" s="24">
        <f>IFERROR(_xlfn.XLOOKUP($A82,Database!$A$2:$A$100,Database!B$2:B$100)*$B82,0)</f>
        <v>0</v>
      </c>
      <c r="D82" s="24">
        <f>IFERROR(_xlfn.XLOOKUP($A82,Database!$A$2:$A$100,Database!C$2:C$100)*$B82,0)</f>
        <v>0</v>
      </c>
      <c r="E82" s="24">
        <f>IFERROR(_xlfn.XLOOKUP($A82,Database!$A$2:$A$100,Database!D$2:D$100)*$B82,0)</f>
        <v>0</v>
      </c>
      <c r="F82" s="24">
        <f>IFERROR(_xlfn.XLOOKUP($A82,Database!$A$2:$A$100,Database!E$2:E$100)*$B82,0)</f>
        <v>0</v>
      </c>
      <c r="G82" s="24">
        <f>IFERROR(_xlfn.XLOOKUP($A82,Database!$A$2:$A$100,Database!F$2:F$100)*$B82,0)</f>
        <v>0</v>
      </c>
      <c r="H82" s="24">
        <f>IFERROR(_xlfn.XLOOKUP($A82,Database!$A$2:$A$100,Database!G$2:G$100)*$B82,0)</f>
        <v>0</v>
      </c>
      <c r="I82" s="24">
        <f>IFERROR(_xlfn.XLOOKUP($A82,Database!$A$2:$A$100,Database!H$2:H$100)*$B82,0)</f>
        <v>0</v>
      </c>
      <c r="J82" s="24">
        <f>IFERROR(_xlfn.XLOOKUP($A82,Database!$A$2:$A$100,Database!I$2:I$100)*$B82,0)</f>
        <v>0</v>
      </c>
    </row>
    <row r="83" spans="1:10" x14ac:dyDescent="0.25">
      <c r="A83" s="22"/>
      <c r="B83" s="33"/>
      <c r="C83" s="24">
        <f>IFERROR(_xlfn.XLOOKUP($A83,Database!$A$2:$A$100,Database!B$2:B$100)*$B83,0)</f>
        <v>0</v>
      </c>
      <c r="D83" s="24">
        <f>IFERROR(_xlfn.XLOOKUP($A83,Database!$A$2:$A$100,Database!C$2:C$100)*$B83,0)</f>
        <v>0</v>
      </c>
      <c r="E83" s="24">
        <f>IFERROR(_xlfn.XLOOKUP($A83,Database!$A$2:$A$100,Database!D$2:D$100)*$B83,0)</f>
        <v>0</v>
      </c>
      <c r="F83" s="24">
        <f>IFERROR(_xlfn.XLOOKUP($A83,Database!$A$2:$A$100,Database!E$2:E$100)*$B83,0)</f>
        <v>0</v>
      </c>
      <c r="G83" s="24">
        <f>IFERROR(_xlfn.XLOOKUP($A83,Database!$A$2:$A$100,Database!F$2:F$100)*$B83,0)</f>
        <v>0</v>
      </c>
      <c r="H83" s="24">
        <f>IFERROR(_xlfn.XLOOKUP($A83,Database!$A$2:$A$100,Database!G$2:G$100)*$B83,0)</f>
        <v>0</v>
      </c>
      <c r="I83" s="24">
        <f>IFERROR(_xlfn.XLOOKUP($A83,Database!$A$2:$A$100,Database!H$2:H$100)*$B83,0)</f>
        <v>0</v>
      </c>
      <c r="J83" s="24">
        <f>IFERROR(_xlfn.XLOOKUP($A83,Database!$A$2:$A$100,Database!I$2:I$100)*$B83,0)</f>
        <v>0</v>
      </c>
    </row>
    <row r="84" spans="1:10" x14ac:dyDescent="0.25">
      <c r="A84" s="22"/>
      <c r="B84" s="33"/>
      <c r="C84" s="24">
        <f>IFERROR(_xlfn.XLOOKUP($A84,Database!$A$2:$A$100,Database!B$2:B$100)*$B84,0)</f>
        <v>0</v>
      </c>
      <c r="D84" s="24">
        <f>IFERROR(_xlfn.XLOOKUP($A84,Database!$A$2:$A$100,Database!C$2:C$100)*$B84,0)</f>
        <v>0</v>
      </c>
      <c r="E84" s="24">
        <f>IFERROR(_xlfn.XLOOKUP($A84,Database!$A$2:$A$100,Database!D$2:D$100)*$B84,0)</f>
        <v>0</v>
      </c>
      <c r="F84" s="24">
        <f>IFERROR(_xlfn.XLOOKUP($A84,Database!$A$2:$A$100,Database!E$2:E$100)*$B84,0)</f>
        <v>0</v>
      </c>
      <c r="G84" s="24">
        <f>IFERROR(_xlfn.XLOOKUP($A84,Database!$A$2:$A$100,Database!F$2:F$100)*$B84,0)</f>
        <v>0</v>
      </c>
      <c r="H84" s="24">
        <f>IFERROR(_xlfn.XLOOKUP($A84,Database!$A$2:$A$100,Database!G$2:G$100)*$B84,0)</f>
        <v>0</v>
      </c>
      <c r="I84" s="24">
        <f>IFERROR(_xlfn.XLOOKUP($A84,Database!$A$2:$A$100,Database!H$2:H$100)*$B84,0)</f>
        <v>0</v>
      </c>
      <c r="J84" s="24">
        <f>IFERROR(_xlfn.XLOOKUP($A84,Database!$A$2:$A$100,Database!I$2:I$100)*$B84,0)</f>
        <v>0</v>
      </c>
    </row>
    <row r="85" spans="1:10" x14ac:dyDescent="0.25">
      <c r="A85" s="22"/>
      <c r="B85" s="33"/>
      <c r="C85" s="24">
        <f>IFERROR(_xlfn.XLOOKUP($A85,Database!$A$2:$A$100,Database!B$2:B$100)*$B85,0)</f>
        <v>0</v>
      </c>
      <c r="D85" s="24">
        <f>IFERROR(_xlfn.XLOOKUP($A85,Database!$A$2:$A$100,Database!C$2:C$100)*$B85,0)</f>
        <v>0</v>
      </c>
      <c r="E85" s="24">
        <f>IFERROR(_xlfn.XLOOKUP($A85,Database!$A$2:$A$100,Database!D$2:D$100)*$B85,0)</f>
        <v>0</v>
      </c>
      <c r="F85" s="24">
        <f>IFERROR(_xlfn.XLOOKUP($A85,Database!$A$2:$A$100,Database!E$2:E$100)*$B85,0)</f>
        <v>0</v>
      </c>
      <c r="G85" s="24">
        <f>IFERROR(_xlfn.XLOOKUP($A85,Database!$A$2:$A$100,Database!F$2:F$100)*$B85,0)</f>
        <v>0</v>
      </c>
      <c r="H85" s="24">
        <f>IFERROR(_xlfn.XLOOKUP($A85,Database!$A$2:$A$100,Database!G$2:G$100)*$B85,0)</f>
        <v>0</v>
      </c>
      <c r="I85" s="24">
        <f>IFERROR(_xlfn.XLOOKUP($A85,Database!$A$2:$A$100,Database!H$2:H$100)*$B85,0)</f>
        <v>0</v>
      </c>
      <c r="J85" s="24">
        <f>IFERROR(_xlfn.XLOOKUP($A85,Database!$A$2:$A$100,Database!I$2:I$100)*$B85,0)</f>
        <v>0</v>
      </c>
    </row>
    <row r="86" spans="1:10" x14ac:dyDescent="0.25">
      <c r="A86" s="22"/>
      <c r="B86" s="33"/>
      <c r="C86" s="24">
        <f>IFERROR(_xlfn.XLOOKUP($A86,Database!$A$2:$A$100,Database!B$2:B$100)*$B86,0)</f>
        <v>0</v>
      </c>
      <c r="D86" s="24">
        <f>IFERROR(_xlfn.XLOOKUP($A86,Database!$A$2:$A$100,Database!C$2:C$100)*$B86,0)</f>
        <v>0</v>
      </c>
      <c r="E86" s="24">
        <f>IFERROR(_xlfn.XLOOKUP($A86,Database!$A$2:$A$100,Database!D$2:D$100)*$B86,0)</f>
        <v>0</v>
      </c>
      <c r="F86" s="24">
        <f>IFERROR(_xlfn.XLOOKUP($A86,Database!$A$2:$A$100,Database!E$2:E$100)*$B86,0)</f>
        <v>0</v>
      </c>
      <c r="G86" s="24">
        <f>IFERROR(_xlfn.XLOOKUP($A86,Database!$A$2:$A$100,Database!F$2:F$100)*$B86,0)</f>
        <v>0</v>
      </c>
      <c r="H86" s="24">
        <f>IFERROR(_xlfn.XLOOKUP($A86,Database!$A$2:$A$100,Database!G$2:G$100)*$B86,0)</f>
        <v>0</v>
      </c>
      <c r="I86" s="24">
        <f>IFERROR(_xlfn.XLOOKUP($A86,Database!$A$2:$A$100,Database!H$2:H$100)*$B86,0)</f>
        <v>0</v>
      </c>
      <c r="J86" s="24">
        <f>IFERROR(_xlfn.XLOOKUP($A86,Database!$A$2:$A$100,Database!I$2:I$100)*$B86,0)</f>
        <v>0</v>
      </c>
    </row>
    <row r="87" spans="1:10" x14ac:dyDescent="0.25">
      <c r="A87" s="22"/>
      <c r="B87" s="33"/>
      <c r="C87" s="24">
        <f>IFERROR(_xlfn.XLOOKUP($A87,Database!$A$2:$A$100,Database!B$2:B$100)*$B87,0)</f>
        <v>0</v>
      </c>
      <c r="D87" s="24">
        <f>IFERROR(_xlfn.XLOOKUP($A87,Database!$A$2:$A$100,Database!C$2:C$100)*$B87,0)</f>
        <v>0</v>
      </c>
      <c r="E87" s="24">
        <f>IFERROR(_xlfn.XLOOKUP($A87,Database!$A$2:$A$100,Database!D$2:D$100)*$B87,0)</f>
        <v>0</v>
      </c>
      <c r="F87" s="24">
        <f>IFERROR(_xlfn.XLOOKUP($A87,Database!$A$2:$A$100,Database!E$2:E$100)*$B87,0)</f>
        <v>0</v>
      </c>
      <c r="G87" s="24">
        <f>IFERROR(_xlfn.XLOOKUP($A87,Database!$A$2:$A$100,Database!F$2:F$100)*$B87,0)</f>
        <v>0</v>
      </c>
      <c r="H87" s="24">
        <f>IFERROR(_xlfn.XLOOKUP($A87,Database!$A$2:$A$100,Database!G$2:G$100)*$B87,0)</f>
        <v>0</v>
      </c>
      <c r="I87" s="24">
        <f>IFERROR(_xlfn.XLOOKUP($A87,Database!$A$2:$A$100,Database!H$2:H$100)*$B87,0)</f>
        <v>0</v>
      </c>
      <c r="J87" s="24">
        <f>IFERROR(_xlfn.XLOOKUP($A87,Database!$A$2:$A$100,Database!I$2:I$100)*$B87,0)</f>
        <v>0</v>
      </c>
    </row>
    <row r="88" spans="1:10" x14ac:dyDescent="0.25">
      <c r="A88" s="22"/>
      <c r="B88" s="33"/>
      <c r="C88" s="24">
        <f>IFERROR(_xlfn.XLOOKUP($A88,Database!$A$2:$A$100,Database!B$2:B$100)*$B88,0)</f>
        <v>0</v>
      </c>
      <c r="D88" s="24">
        <f>IFERROR(_xlfn.XLOOKUP($A88,Database!$A$2:$A$100,Database!C$2:C$100)*$B88,0)</f>
        <v>0</v>
      </c>
      <c r="E88" s="24">
        <f>IFERROR(_xlfn.XLOOKUP($A88,Database!$A$2:$A$100,Database!D$2:D$100)*$B88,0)</f>
        <v>0</v>
      </c>
      <c r="F88" s="24">
        <f>IFERROR(_xlfn.XLOOKUP($A88,Database!$A$2:$A$100,Database!E$2:E$100)*$B88,0)</f>
        <v>0</v>
      </c>
      <c r="G88" s="24">
        <f>IFERROR(_xlfn.XLOOKUP($A88,Database!$A$2:$A$100,Database!F$2:F$100)*$B88,0)</f>
        <v>0</v>
      </c>
      <c r="H88" s="24">
        <f>IFERROR(_xlfn.XLOOKUP($A88,Database!$A$2:$A$100,Database!G$2:G$100)*$B88,0)</f>
        <v>0</v>
      </c>
      <c r="I88" s="24">
        <f>IFERROR(_xlfn.XLOOKUP($A88,Database!$A$2:$A$100,Database!H$2:H$100)*$B88,0)</f>
        <v>0</v>
      </c>
      <c r="J88" s="24">
        <f>IFERROR(_xlfn.XLOOKUP($A88,Database!$A$2:$A$100,Database!I$2:I$100)*$B88,0)</f>
        <v>0</v>
      </c>
    </row>
    <row r="89" spans="1:10" x14ac:dyDescent="0.25">
      <c r="A89" s="22"/>
      <c r="B89" s="33"/>
      <c r="C89" s="24">
        <f>IFERROR(_xlfn.XLOOKUP($A89,Database!$A$2:$A$100,Database!B$2:B$100)*$B89,0)</f>
        <v>0</v>
      </c>
      <c r="D89" s="24">
        <f>IFERROR(_xlfn.XLOOKUP($A89,Database!$A$2:$A$100,Database!C$2:C$100)*$B89,0)</f>
        <v>0</v>
      </c>
      <c r="E89" s="24">
        <f>IFERROR(_xlfn.XLOOKUP($A89,Database!$A$2:$A$100,Database!D$2:D$100)*$B89,0)</f>
        <v>0</v>
      </c>
      <c r="F89" s="24">
        <f>IFERROR(_xlfn.XLOOKUP($A89,Database!$A$2:$A$100,Database!E$2:E$100)*$B89,0)</f>
        <v>0</v>
      </c>
      <c r="G89" s="24">
        <f>IFERROR(_xlfn.XLOOKUP($A89,Database!$A$2:$A$100,Database!F$2:F$100)*$B89,0)</f>
        <v>0</v>
      </c>
      <c r="H89" s="24">
        <f>IFERROR(_xlfn.XLOOKUP($A89,Database!$A$2:$A$100,Database!G$2:G$100)*$B89,0)</f>
        <v>0</v>
      </c>
      <c r="I89" s="24">
        <f>IFERROR(_xlfn.XLOOKUP($A89,Database!$A$2:$A$100,Database!H$2:H$100)*$B89,0)</f>
        <v>0</v>
      </c>
      <c r="J89" s="24">
        <f>IFERROR(_xlfn.XLOOKUP($A89,Database!$A$2:$A$100,Database!I$2:I$100)*$B89,0)</f>
        <v>0</v>
      </c>
    </row>
    <row r="90" spans="1:10" x14ac:dyDescent="0.25">
      <c r="A90" s="22"/>
      <c r="B90" s="33"/>
      <c r="C90" s="24">
        <f>IFERROR(_xlfn.XLOOKUP($A90,Database!$A$2:$A$100,Database!B$2:B$100)*$B90,0)</f>
        <v>0</v>
      </c>
      <c r="D90" s="24">
        <f>IFERROR(_xlfn.XLOOKUP($A90,Database!$A$2:$A$100,Database!C$2:C$100)*$B90,0)</f>
        <v>0</v>
      </c>
      <c r="E90" s="24">
        <f>IFERROR(_xlfn.XLOOKUP($A90,Database!$A$2:$A$100,Database!D$2:D$100)*$B90,0)</f>
        <v>0</v>
      </c>
      <c r="F90" s="24">
        <f>IFERROR(_xlfn.XLOOKUP($A90,Database!$A$2:$A$100,Database!E$2:E$100)*$B90,0)</f>
        <v>0</v>
      </c>
      <c r="G90" s="24">
        <f>IFERROR(_xlfn.XLOOKUP($A90,Database!$A$2:$A$100,Database!F$2:F$100)*$B90,0)</f>
        <v>0</v>
      </c>
      <c r="H90" s="24">
        <f>IFERROR(_xlfn.XLOOKUP($A90,Database!$A$2:$A$100,Database!G$2:G$100)*$B90,0)</f>
        <v>0</v>
      </c>
      <c r="I90" s="24">
        <f>IFERROR(_xlfn.XLOOKUP($A90,Database!$A$2:$A$100,Database!H$2:H$100)*$B90,0)</f>
        <v>0</v>
      </c>
      <c r="J90" s="24">
        <f>IFERROR(_xlfn.XLOOKUP($A90,Database!$A$2:$A$100,Database!I$2:I$100)*$B90,0)</f>
        <v>0</v>
      </c>
    </row>
    <row r="91" spans="1:10" x14ac:dyDescent="0.25">
      <c r="A91" s="22"/>
      <c r="B91" s="33"/>
      <c r="C91" s="24">
        <f>IFERROR(_xlfn.XLOOKUP($A91,Database!$A$2:$A$100,Database!B$2:B$100)*$B91,0)</f>
        <v>0</v>
      </c>
      <c r="D91" s="24">
        <f>IFERROR(_xlfn.XLOOKUP($A91,Database!$A$2:$A$100,Database!C$2:C$100)*$B91,0)</f>
        <v>0</v>
      </c>
      <c r="E91" s="24">
        <f>IFERROR(_xlfn.XLOOKUP($A91,Database!$A$2:$A$100,Database!D$2:D$100)*$B91,0)</f>
        <v>0</v>
      </c>
      <c r="F91" s="24">
        <f>IFERROR(_xlfn.XLOOKUP($A91,Database!$A$2:$A$100,Database!E$2:E$100)*$B91,0)</f>
        <v>0</v>
      </c>
      <c r="G91" s="24">
        <f>IFERROR(_xlfn.XLOOKUP($A91,Database!$A$2:$A$100,Database!F$2:F$100)*$B91,0)</f>
        <v>0</v>
      </c>
      <c r="H91" s="24">
        <f>IFERROR(_xlfn.XLOOKUP($A91,Database!$A$2:$A$100,Database!G$2:G$100)*$B91,0)</f>
        <v>0</v>
      </c>
      <c r="I91" s="24">
        <f>IFERROR(_xlfn.XLOOKUP($A91,Database!$A$2:$A$100,Database!H$2:H$100)*$B91,0)</f>
        <v>0</v>
      </c>
      <c r="J91" s="24">
        <f>IFERROR(_xlfn.XLOOKUP($A91,Database!$A$2:$A$100,Database!I$2:I$100)*$B91,0)</f>
        <v>0</v>
      </c>
    </row>
    <row r="92" spans="1:10" x14ac:dyDescent="0.25">
      <c r="A92" s="22"/>
      <c r="B92" s="33"/>
      <c r="C92" s="24">
        <f>IFERROR(_xlfn.XLOOKUP($A92,Database!$A$2:$A$100,Database!B$2:B$100)*$B92,0)</f>
        <v>0</v>
      </c>
      <c r="D92" s="24">
        <f>IFERROR(_xlfn.XLOOKUP($A92,Database!$A$2:$A$100,Database!C$2:C$100)*$B92,0)</f>
        <v>0</v>
      </c>
      <c r="E92" s="24">
        <f>IFERROR(_xlfn.XLOOKUP($A92,Database!$A$2:$A$100,Database!D$2:D$100)*$B92,0)</f>
        <v>0</v>
      </c>
      <c r="F92" s="24">
        <f>IFERROR(_xlfn.XLOOKUP($A92,Database!$A$2:$A$100,Database!E$2:E$100)*$B92,0)</f>
        <v>0</v>
      </c>
      <c r="G92" s="24">
        <f>IFERROR(_xlfn.XLOOKUP($A92,Database!$A$2:$A$100,Database!F$2:F$100)*$B92,0)</f>
        <v>0</v>
      </c>
      <c r="H92" s="24">
        <f>IFERROR(_xlfn.XLOOKUP($A92,Database!$A$2:$A$100,Database!G$2:G$100)*$B92,0)</f>
        <v>0</v>
      </c>
      <c r="I92" s="24">
        <f>IFERROR(_xlfn.XLOOKUP($A92,Database!$A$2:$A$100,Database!H$2:H$100)*$B92,0)</f>
        <v>0</v>
      </c>
      <c r="J92" s="24">
        <f>IFERROR(_xlfn.XLOOKUP($A92,Database!$A$2:$A$100,Database!I$2:I$100)*$B92,0)</f>
        <v>0</v>
      </c>
    </row>
    <row r="93" spans="1:10" x14ac:dyDescent="0.25">
      <c r="A93" s="22"/>
      <c r="B93" s="33"/>
      <c r="C93" s="24">
        <f>IFERROR(_xlfn.XLOOKUP($A93,Database!$A$2:$A$100,Database!B$2:B$100)*$B93,0)</f>
        <v>0</v>
      </c>
      <c r="D93" s="24">
        <f>IFERROR(_xlfn.XLOOKUP($A93,Database!$A$2:$A$100,Database!C$2:C$100)*$B93,0)</f>
        <v>0</v>
      </c>
      <c r="E93" s="24">
        <f>IFERROR(_xlfn.XLOOKUP($A93,Database!$A$2:$A$100,Database!D$2:D$100)*$B93,0)</f>
        <v>0</v>
      </c>
      <c r="F93" s="24">
        <f>IFERROR(_xlfn.XLOOKUP($A93,Database!$A$2:$A$100,Database!E$2:E$100)*$B93,0)</f>
        <v>0</v>
      </c>
      <c r="G93" s="24">
        <f>IFERROR(_xlfn.XLOOKUP($A93,Database!$A$2:$A$100,Database!F$2:F$100)*$B93,0)</f>
        <v>0</v>
      </c>
      <c r="H93" s="24">
        <f>IFERROR(_xlfn.XLOOKUP($A93,Database!$A$2:$A$100,Database!G$2:G$100)*$B93,0)</f>
        <v>0</v>
      </c>
      <c r="I93" s="24">
        <f>IFERROR(_xlfn.XLOOKUP($A93,Database!$A$2:$A$100,Database!H$2:H$100)*$B93,0)</f>
        <v>0</v>
      </c>
      <c r="J93" s="24">
        <f>IFERROR(_xlfn.XLOOKUP($A93,Database!$A$2:$A$100,Database!I$2:I$100)*$B93,0)</f>
        <v>0</v>
      </c>
    </row>
    <row r="94" spans="1:10" x14ac:dyDescent="0.25">
      <c r="A94" s="22"/>
      <c r="B94" s="33"/>
      <c r="C94" s="24">
        <f>IFERROR(_xlfn.XLOOKUP($A94,Database!$A$2:$A$100,Database!B$2:B$100)*$B94,0)</f>
        <v>0</v>
      </c>
      <c r="D94" s="24">
        <f>IFERROR(_xlfn.XLOOKUP($A94,Database!$A$2:$A$100,Database!C$2:C$100)*$B94,0)</f>
        <v>0</v>
      </c>
      <c r="E94" s="24">
        <f>IFERROR(_xlfn.XLOOKUP($A94,Database!$A$2:$A$100,Database!D$2:D$100)*$B94,0)</f>
        <v>0</v>
      </c>
      <c r="F94" s="24">
        <f>IFERROR(_xlfn.XLOOKUP($A94,Database!$A$2:$A$100,Database!E$2:E$100)*$B94,0)</f>
        <v>0</v>
      </c>
      <c r="G94" s="24">
        <f>IFERROR(_xlfn.XLOOKUP($A94,Database!$A$2:$A$100,Database!F$2:F$100)*$B94,0)</f>
        <v>0</v>
      </c>
      <c r="H94" s="24">
        <f>IFERROR(_xlfn.XLOOKUP($A94,Database!$A$2:$A$100,Database!G$2:G$100)*$B94,0)</f>
        <v>0</v>
      </c>
      <c r="I94" s="24">
        <f>IFERROR(_xlfn.XLOOKUP($A94,Database!$A$2:$A$100,Database!H$2:H$100)*$B94,0)</f>
        <v>0</v>
      </c>
      <c r="J94" s="24">
        <f>IFERROR(_xlfn.XLOOKUP($A94,Database!$A$2:$A$100,Database!I$2:I$100)*$B94,0)</f>
        <v>0</v>
      </c>
    </row>
    <row r="95" spans="1:10" x14ac:dyDescent="0.25">
      <c r="A95" s="22"/>
      <c r="B95" s="33"/>
      <c r="C95" s="24">
        <f>IFERROR(_xlfn.XLOOKUP($A95,Database!$A$2:$A$100,Database!B$2:B$100)*$B95,0)</f>
        <v>0</v>
      </c>
      <c r="D95" s="24">
        <f>IFERROR(_xlfn.XLOOKUP($A95,Database!$A$2:$A$100,Database!C$2:C$100)*$B95,0)</f>
        <v>0</v>
      </c>
      <c r="E95" s="24">
        <f>IFERROR(_xlfn.XLOOKUP($A95,Database!$A$2:$A$100,Database!D$2:D$100)*$B95,0)</f>
        <v>0</v>
      </c>
      <c r="F95" s="24">
        <f>IFERROR(_xlfn.XLOOKUP($A95,Database!$A$2:$A$100,Database!E$2:E$100)*$B95,0)</f>
        <v>0</v>
      </c>
      <c r="G95" s="24">
        <f>IFERROR(_xlfn.XLOOKUP($A95,Database!$A$2:$A$100,Database!F$2:F$100)*$B95,0)</f>
        <v>0</v>
      </c>
      <c r="H95" s="24">
        <f>IFERROR(_xlfn.XLOOKUP($A95,Database!$A$2:$A$100,Database!G$2:G$100)*$B95,0)</f>
        <v>0</v>
      </c>
      <c r="I95" s="24">
        <f>IFERROR(_xlfn.XLOOKUP($A95,Database!$A$2:$A$100,Database!H$2:H$100)*$B95,0)</f>
        <v>0</v>
      </c>
      <c r="J95" s="24">
        <f>IFERROR(_xlfn.XLOOKUP($A95,Database!$A$2:$A$100,Database!I$2:I$100)*$B95,0)</f>
        <v>0</v>
      </c>
    </row>
    <row r="96" spans="1:10" x14ac:dyDescent="0.25">
      <c r="A96" s="22"/>
      <c r="B96" s="33"/>
      <c r="C96" s="24">
        <f>IFERROR(_xlfn.XLOOKUP($A96,Database!$A$2:$A$100,Database!B$2:B$100)*$B96,0)</f>
        <v>0</v>
      </c>
      <c r="D96" s="24">
        <f>IFERROR(_xlfn.XLOOKUP($A96,Database!$A$2:$A$100,Database!C$2:C$100)*$B96,0)</f>
        <v>0</v>
      </c>
      <c r="E96" s="24">
        <f>IFERROR(_xlfn.XLOOKUP($A96,Database!$A$2:$A$100,Database!D$2:D$100)*$B96,0)</f>
        <v>0</v>
      </c>
      <c r="F96" s="24">
        <f>IFERROR(_xlfn.XLOOKUP($A96,Database!$A$2:$A$100,Database!E$2:E$100)*$B96,0)</f>
        <v>0</v>
      </c>
      <c r="G96" s="24">
        <f>IFERROR(_xlfn.XLOOKUP($A96,Database!$A$2:$A$100,Database!F$2:F$100)*$B96,0)</f>
        <v>0</v>
      </c>
      <c r="H96" s="24">
        <f>IFERROR(_xlfn.XLOOKUP($A96,Database!$A$2:$A$100,Database!G$2:G$100)*$B96,0)</f>
        <v>0</v>
      </c>
      <c r="I96" s="24">
        <f>IFERROR(_xlfn.XLOOKUP($A96,Database!$A$2:$A$100,Database!H$2:H$100)*$B96,0)</f>
        <v>0</v>
      </c>
      <c r="J96" s="24">
        <f>IFERROR(_xlfn.XLOOKUP($A96,Database!$A$2:$A$100,Database!I$2:I$100)*$B96,0)</f>
        <v>0</v>
      </c>
    </row>
    <row r="97" spans="1:10" x14ac:dyDescent="0.25">
      <c r="A97" s="22"/>
      <c r="B97" s="33"/>
      <c r="C97" s="24">
        <f>IFERROR(_xlfn.XLOOKUP($A97,Database!$A$2:$A$100,Database!B$2:B$100)*$B97,0)</f>
        <v>0</v>
      </c>
      <c r="D97" s="24">
        <f>IFERROR(_xlfn.XLOOKUP($A97,Database!$A$2:$A$100,Database!C$2:C$100)*$B97,0)</f>
        <v>0</v>
      </c>
      <c r="E97" s="24">
        <f>IFERROR(_xlfn.XLOOKUP($A97,Database!$A$2:$A$100,Database!D$2:D$100)*$B97,0)</f>
        <v>0</v>
      </c>
      <c r="F97" s="24">
        <f>IFERROR(_xlfn.XLOOKUP($A97,Database!$A$2:$A$100,Database!E$2:E$100)*$B97,0)</f>
        <v>0</v>
      </c>
      <c r="G97" s="24">
        <f>IFERROR(_xlfn.XLOOKUP($A97,Database!$A$2:$A$100,Database!F$2:F$100)*$B97,0)</f>
        <v>0</v>
      </c>
      <c r="H97" s="24">
        <f>IFERROR(_xlfn.XLOOKUP($A97,Database!$A$2:$A$100,Database!G$2:G$100)*$B97,0)</f>
        <v>0</v>
      </c>
      <c r="I97" s="24">
        <f>IFERROR(_xlfn.XLOOKUP($A97,Database!$A$2:$A$100,Database!H$2:H$100)*$B97,0)</f>
        <v>0</v>
      </c>
      <c r="J97" s="24">
        <f>IFERROR(_xlfn.XLOOKUP($A97,Database!$A$2:$A$100,Database!I$2:I$100)*$B97,0)</f>
        <v>0</v>
      </c>
    </row>
    <row r="98" spans="1:10" x14ac:dyDescent="0.25">
      <c r="A98" s="22"/>
      <c r="B98" s="33"/>
      <c r="C98" s="24">
        <f>IFERROR(_xlfn.XLOOKUP($A98,Database!$A$2:$A$100,Database!B$2:B$100)*$B98,0)</f>
        <v>0</v>
      </c>
      <c r="D98" s="24">
        <f>IFERROR(_xlfn.XLOOKUP($A98,Database!$A$2:$A$100,Database!C$2:C$100)*$B98,0)</f>
        <v>0</v>
      </c>
      <c r="E98" s="24">
        <f>IFERROR(_xlfn.XLOOKUP($A98,Database!$A$2:$A$100,Database!D$2:D$100)*$B98,0)</f>
        <v>0</v>
      </c>
      <c r="F98" s="24">
        <f>IFERROR(_xlfn.XLOOKUP($A98,Database!$A$2:$A$100,Database!E$2:E$100)*$B98,0)</f>
        <v>0</v>
      </c>
      <c r="G98" s="24">
        <f>IFERROR(_xlfn.XLOOKUP($A98,Database!$A$2:$A$100,Database!F$2:F$100)*$B98,0)</f>
        <v>0</v>
      </c>
      <c r="H98" s="24">
        <f>IFERROR(_xlfn.XLOOKUP($A98,Database!$A$2:$A$100,Database!G$2:G$100)*$B98,0)</f>
        <v>0</v>
      </c>
      <c r="I98" s="24">
        <f>IFERROR(_xlfn.XLOOKUP($A98,Database!$A$2:$A$100,Database!H$2:H$100)*$B98,0)</f>
        <v>0</v>
      </c>
      <c r="J98" s="24">
        <f>IFERROR(_xlfn.XLOOKUP($A98,Database!$A$2:$A$100,Database!I$2:I$100)*$B98,0)</f>
        <v>0</v>
      </c>
    </row>
    <row r="99" spans="1:10" x14ac:dyDescent="0.25">
      <c r="A99" s="22"/>
      <c r="B99" s="33"/>
      <c r="C99" s="24">
        <f>IFERROR(_xlfn.XLOOKUP($A99,Database!$A$2:$A$100,Database!B$2:B$100)*$B99,0)</f>
        <v>0</v>
      </c>
      <c r="D99" s="24">
        <f>IFERROR(_xlfn.XLOOKUP($A99,Database!$A$2:$A$100,Database!C$2:C$100)*$B99,0)</f>
        <v>0</v>
      </c>
      <c r="E99" s="24">
        <f>IFERROR(_xlfn.XLOOKUP($A99,Database!$A$2:$A$100,Database!D$2:D$100)*$B99,0)</f>
        <v>0</v>
      </c>
      <c r="F99" s="24">
        <f>IFERROR(_xlfn.XLOOKUP($A99,Database!$A$2:$A$100,Database!E$2:E$100)*$B99,0)</f>
        <v>0</v>
      </c>
      <c r="G99" s="24">
        <f>IFERROR(_xlfn.XLOOKUP($A99,Database!$A$2:$A$100,Database!F$2:F$100)*$B99,0)</f>
        <v>0</v>
      </c>
      <c r="H99" s="24">
        <f>IFERROR(_xlfn.XLOOKUP($A99,Database!$A$2:$A$100,Database!G$2:G$100)*$B99,0)</f>
        <v>0</v>
      </c>
      <c r="I99" s="24">
        <f>IFERROR(_xlfn.XLOOKUP($A99,Database!$A$2:$A$100,Database!H$2:H$100)*$B99,0)</f>
        <v>0</v>
      </c>
      <c r="J99" s="24">
        <f>IFERROR(_xlfn.XLOOKUP($A99,Database!$A$2:$A$100,Database!I$2:I$100)*$B99,0)</f>
        <v>0</v>
      </c>
    </row>
    <row r="100" spans="1:10" x14ac:dyDescent="0.25">
      <c r="A100" s="22"/>
      <c r="B100" s="33"/>
      <c r="C100" s="24">
        <f>IFERROR(_xlfn.XLOOKUP($A100,Database!$A$2:$A$100,Database!B$2:B$100)*$B100,0)</f>
        <v>0</v>
      </c>
      <c r="D100" s="24">
        <f>IFERROR(_xlfn.XLOOKUP($A100,Database!$A$2:$A$100,Database!C$2:C$100)*$B100,0)</f>
        <v>0</v>
      </c>
      <c r="E100" s="24">
        <f>IFERROR(_xlfn.XLOOKUP($A100,Database!$A$2:$A$100,Database!D$2:D$100)*$B100,0)</f>
        <v>0</v>
      </c>
      <c r="F100" s="24">
        <f>IFERROR(_xlfn.XLOOKUP($A100,Database!$A$2:$A$100,Database!E$2:E$100)*$B100,0)</f>
        <v>0</v>
      </c>
      <c r="G100" s="24">
        <f>IFERROR(_xlfn.XLOOKUP($A100,Database!$A$2:$A$100,Database!F$2:F$100)*$B100,0)</f>
        <v>0</v>
      </c>
      <c r="H100" s="24">
        <f>IFERROR(_xlfn.XLOOKUP($A100,Database!$A$2:$A$100,Database!G$2:G$100)*$B100,0)</f>
        <v>0</v>
      </c>
      <c r="I100" s="24">
        <f>IFERROR(_xlfn.XLOOKUP($A100,Database!$A$2:$A$100,Database!H$2:H$100)*$B100,0)</f>
        <v>0</v>
      </c>
      <c r="J100" s="24">
        <f>IFERROR(_xlfn.XLOOKUP($A100,Database!$A$2:$A$100,Database!I$2:I$100)*$B100,0)</f>
        <v>0</v>
      </c>
    </row>
  </sheetData>
  <mergeCells count="1">
    <mergeCell ref="U1:X9"/>
  </mergeCells>
  <pageMargins left="0.7" right="0.7" top="0.75" bottom="0.75" header="0.3" footer="0.3"/>
  <pageSetup paperSize="1" orientation="defaul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2" width="13" customWidth="1"/>
    <col min="3" max="3" width="34" customWidth="1"/>
    <col min="4" max="4" width="16" customWidth="1"/>
  </cols>
  <sheetData>
    <row r="1" ht="28" customHeight="1" spans="1:4" x14ac:dyDescent="0.25">
      <c r="A1" s="41" t="s">
        <v>47</v>
      </c>
      <c r="B1" s="41"/>
      <c r="C1" s="41"/>
      <c r="D1" s="41"/>
    </row>
    <row r="2" ht="34" customHeight="1" spans="1:4" x14ac:dyDescent="0.25">
      <c r="A2" s="43" t="s">
        <v>48</v>
      </c>
      <c r="B2" s="43"/>
      <c r="C2" s="43"/>
      <c r="D2" s="43"/>
    </row>
    <row r="4" ht="32" customHeight="1" spans="1:4" x14ac:dyDescent="0.25">
      <c r="A4" s="1" t="s">
        <v>49</v>
      </c>
      <c r="B4" s="1" t="s">
        <v>50</v>
      </c>
      <c r="C4" s="1" t="s">
        <v>51</v>
      </c>
      <c r="D4" s="1" t="s">
        <v>52</v>
      </c>
    </row>
    <row r="5" spans="1:4" x14ac:dyDescent="0.25">
      <c r="A5" s="44">
        <v>2</v>
      </c>
      <c r="B5" s="44">
        <v>4</v>
      </c>
      <c r="C5" s="44" t="s">
        <v>53</v>
      </c>
      <c r="D5" s="44">
        <v>500</v>
      </c>
    </row>
    <row r="6" spans="1:4" x14ac:dyDescent="0.25">
      <c r="A6" s="44">
        <v>2</v>
      </c>
      <c r="B6" s="44">
        <v>5</v>
      </c>
      <c r="C6" s="44" t="s">
        <v>53</v>
      </c>
      <c r="D6" s="44">
        <v>1000</v>
      </c>
    </row>
    <row r="7" spans="1:4" x14ac:dyDescent="0.25">
      <c r="A7" s="44">
        <v>2</v>
      </c>
      <c r="B7" s="44">
        <v>6</v>
      </c>
      <c r="C7" s="44" t="s">
        <v>53</v>
      </c>
      <c r="D7" s="44">
        <v>2500</v>
      </c>
    </row>
    <row r="8" spans="1:4" x14ac:dyDescent="0.25">
      <c r="A8" s="44">
        <v>1</v>
      </c>
      <c r="B8" s="44">
        <v>1</v>
      </c>
      <c r="C8" s="44" t="s">
        <v>54</v>
      </c>
      <c r="D8" s="44">
        <v>1000</v>
      </c>
    </row>
    <row r="9" spans="1:4" x14ac:dyDescent="0.25">
      <c r="A9" s="44">
        <v>1</v>
      </c>
      <c r="B9" s="44">
        <v>2</v>
      </c>
      <c r="C9" s="44" t="s">
        <v>54</v>
      </c>
      <c r="D9" s="44">
        <v>2500</v>
      </c>
    </row>
    <row r="10" spans="1:4" x14ac:dyDescent="0.25">
      <c r="A10" s="44">
        <v>1</v>
      </c>
      <c r="B10" s="44">
        <v>3</v>
      </c>
      <c r="C10" s="44" t="s">
        <v>54</v>
      </c>
      <c r="D10" s="44">
        <v>5000</v>
      </c>
    </row>
  </sheetData>
  <autoFilter ref="A4:D10"/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2" customWidth="1"/>
    <col min="3" max="3" width="30" customWidth="1"/>
    <col min="4" max="4" width="14" customWidth="1"/>
    <col min="5" max="5" width="12" customWidth="1"/>
    <col min="6" max="6" width="16" customWidth="1"/>
    <col min="7" max="8" width="13" customWidth="1"/>
    <col min="9" max="9" width="11" customWidth="1"/>
    <col min="10" max="10" width="12" customWidth="1"/>
    <col min="11" max="11" width="10" customWidth="1"/>
    <col min="12" max="12" width="15" customWidth="1"/>
    <col min="13" max="13" width="24" customWidth="1"/>
  </cols>
  <sheetData>
    <row r="1" ht="28" customHeight="1" spans="1:13" x14ac:dyDescent="0.25">
      <c r="A1" s="41" t="s">
        <v>55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</row>
    <row r="2" ht="34" customHeight="1" spans="1:13" x14ac:dyDescent="0.25">
      <c r="A2" s="43" t="s">
        <v>56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</row>
    <row r="4" ht="32" customHeight="1" spans="1:13" x14ac:dyDescent="0.25">
      <c r="A4" s="1" t="s">
        <v>57</v>
      </c>
      <c r="B4" s="1" t="s">
        <v>50</v>
      </c>
      <c r="C4" s="1" t="s">
        <v>58</v>
      </c>
      <c r="D4" s="1" t="s">
        <v>52</v>
      </c>
      <c r="E4" s="1" t="s">
        <v>59</v>
      </c>
      <c r="F4" s="1" t="s">
        <v>60</v>
      </c>
      <c r="G4" s="1" t="s">
        <v>61</v>
      </c>
      <c r="H4" s="1" t="s">
        <v>62</v>
      </c>
      <c r="I4" s="1" t="s">
        <v>63</v>
      </c>
      <c r="J4" s="1" t="s">
        <v>64</v>
      </c>
      <c r="K4" s="1" t="s">
        <v>65</v>
      </c>
      <c r="L4" s="1" t="s">
        <v>66</v>
      </c>
      <c r="M4" s="1" t="s">
        <v>67</v>
      </c>
    </row>
    <row r="5" spans="1:13" x14ac:dyDescent="0.25">
      <c r="A5" s="44">
        <v>4</v>
      </c>
      <c r="B5" s="44">
        <v>4</v>
      </c>
      <c r="C5" s="44" t="s">
        <v>53</v>
      </c>
      <c r="D5" s="44">
        <v>500</v>
      </c>
      <c r="E5" s="45">
        <v>0</v>
      </c>
      <c r="F5" s="45">
        <v>1</v>
      </c>
      <c r="G5" s="45">
        <v>1</v>
      </c>
      <c r="H5" s="44">
        <f>MAX(0,F5-E5)</f>
        <v>1</v>
      </c>
      <c r="I5" s="44">
        <f>IF(H5=0,0,ROUNDUP(H5/G5,0))</f>
        <v>1</v>
      </c>
      <c r="J5" s="44">
        <f>I5*G5</f>
        <v>1</v>
      </c>
      <c r="K5" s="44">
        <f>MAX(0,J5-H5)</f>
        <v>0</v>
      </c>
      <c r="L5" s="44" t="str">
        <f>IF(E5=0,"Leeg",IF(E5/F5&lt;=0.25,"Laag",IF(E5&lt;F5,"Aanvullen","Op niveau")))</f>
        <v>Leeg</v>
      </c>
      <c r="M5" s="44" t="s">
        <v>68</v>
      </c>
    </row>
    <row r="6" spans="1:13" x14ac:dyDescent="0.25">
      <c r="A6" s="44">
        <v>5</v>
      </c>
      <c r="B6" s="44">
        <v>5</v>
      </c>
      <c r="C6" s="44" t="s">
        <v>53</v>
      </c>
      <c r="D6" s="44">
        <v>1000</v>
      </c>
      <c r="E6" s="45">
        <v>0</v>
      </c>
      <c r="F6" s="45">
        <v>1</v>
      </c>
      <c r="G6" s="45">
        <v>1</v>
      </c>
      <c r="H6" s="44">
        <f>MAX(0,F6-E6)</f>
        <v>1</v>
      </c>
      <c r="I6" s="44">
        <f>IF(H6=0,0,ROUNDUP(H6/G6,0))</f>
        <v>1</v>
      </c>
      <c r="J6" s="44">
        <f>I6*G6</f>
        <v>1</v>
      </c>
      <c r="K6" s="44">
        <f>MAX(0,J6-H6)</f>
        <v>0</v>
      </c>
      <c r="L6" s="44" t="str">
        <f>IF(E6=0,"Leeg",IF(E6/F6&lt;=0.25,"Laag",IF(E6&lt;F6,"Aanvullen","Op niveau")))</f>
        <v>Leeg</v>
      </c>
      <c r="M6" s="44" t="s">
        <v>68</v>
      </c>
    </row>
    <row r="7" spans="1:13" x14ac:dyDescent="0.25">
      <c r="A7" s="44">
        <v>6</v>
      </c>
      <c r="B7" s="44">
        <v>6</v>
      </c>
      <c r="C7" s="44" t="s">
        <v>53</v>
      </c>
      <c r="D7" s="44">
        <v>2500</v>
      </c>
      <c r="E7" s="45">
        <v>0</v>
      </c>
      <c r="F7" s="45">
        <v>1</v>
      </c>
      <c r="G7" s="45">
        <v>1</v>
      </c>
      <c r="H7" s="44">
        <f>MAX(0,F7-E7)</f>
        <v>1</v>
      </c>
      <c r="I7" s="44">
        <f>IF(H7=0,0,ROUNDUP(H7/G7,0))</f>
        <v>1</v>
      </c>
      <c r="J7" s="44">
        <f>I7*G7</f>
        <v>1</v>
      </c>
      <c r="K7" s="44">
        <f>MAX(0,J7-H7)</f>
        <v>0</v>
      </c>
      <c r="L7" s="44" t="str">
        <f>IF(E7=0,"Leeg",IF(E7/F7&lt;=0.25,"Laag",IF(E7&lt;F7,"Aanvullen","Op niveau")))</f>
        <v>Leeg</v>
      </c>
      <c r="M7" s="44" t="s">
        <v>68</v>
      </c>
    </row>
    <row r="8" spans="1:13" x14ac:dyDescent="0.25">
      <c r="A8" s="44">
        <v>1</v>
      </c>
      <c r="B8" s="44">
        <v>1</v>
      </c>
      <c r="C8" s="44" t="s">
        <v>54</v>
      </c>
      <c r="D8" s="44">
        <v>1000</v>
      </c>
      <c r="E8" s="45">
        <v>1</v>
      </c>
      <c r="F8" s="45">
        <v>1</v>
      </c>
      <c r="G8" s="45">
        <v>1</v>
      </c>
      <c r="H8" s="44">
        <f>MAX(0,F8-E8)</f>
        <v>0</v>
      </c>
      <c r="I8" s="44">
        <f>IF(H8=0,0,ROUNDUP(H8/G8,0))</f>
        <v>0</v>
      </c>
      <c r="J8" s="44">
        <f>I8*G8</f>
        <v>0</v>
      </c>
      <c r="K8" s="44">
        <f>MAX(0,J8-H8)</f>
        <v>0</v>
      </c>
      <c r="L8" s="44" t="str">
        <f>IF(E8=0,"Leeg",IF(E8/F8&lt;=0.25,"Laag",IF(E8&lt;F8,"Aanvullen","Op niveau")))</f>
        <v>Op niveau</v>
      </c>
      <c r="M8" s="44" t="s">
        <v>69</v>
      </c>
    </row>
    <row r="9" spans="1:13" x14ac:dyDescent="0.25">
      <c r="A9" s="44">
        <v>2</v>
      </c>
      <c r="B9" s="44">
        <v>2</v>
      </c>
      <c r="C9" s="44" t="s">
        <v>54</v>
      </c>
      <c r="D9" s="44">
        <v>2500</v>
      </c>
      <c r="E9" s="45">
        <v>0</v>
      </c>
      <c r="F9" s="45">
        <v>1</v>
      </c>
      <c r="G9" s="45">
        <v>1</v>
      </c>
      <c r="H9" s="44">
        <f>MAX(0,F9-E9)</f>
        <v>1</v>
      </c>
      <c r="I9" s="44">
        <f>IF(H9=0,0,ROUNDUP(H9/G9,0))</f>
        <v>1</v>
      </c>
      <c r="J9" s="44">
        <f>I9*G9</f>
        <v>1</v>
      </c>
      <c r="K9" s="44">
        <f>MAX(0,J9-H9)</f>
        <v>0</v>
      </c>
      <c r="L9" s="44" t="str">
        <f>IF(E9=0,"Leeg",IF(E9/F9&lt;=0.25,"Laag",IF(E9&lt;F9,"Aanvullen","Op niveau")))</f>
        <v>Leeg</v>
      </c>
      <c r="M9" s="44" t="s">
        <v>68</v>
      </c>
    </row>
    <row r="10" spans="1:13" x14ac:dyDescent="0.25">
      <c r="A10" s="44">
        <v>3</v>
      </c>
      <c r="B10" s="44">
        <v>3</v>
      </c>
      <c r="C10" s="44" t="s">
        <v>54</v>
      </c>
      <c r="D10" s="44">
        <v>5000</v>
      </c>
      <c r="E10" s="45">
        <v>0</v>
      </c>
      <c r="F10" s="45">
        <v>1</v>
      </c>
      <c r="G10" s="45">
        <v>1</v>
      </c>
      <c r="H10" s="44">
        <f>MAX(0,F10-E10)</f>
        <v>1</v>
      </c>
      <c r="I10" s="44">
        <f>IF(H10=0,0,ROUNDUP(H10/G10,0))</f>
        <v>1</v>
      </c>
      <c r="J10" s="44">
        <f>I10*G10</f>
        <v>1</v>
      </c>
      <c r="K10" s="44">
        <f>MAX(0,J10-H10)</f>
        <v>0</v>
      </c>
      <c r="L10" s="44" t="str">
        <f>IF(E10=0,"Leeg",IF(E10/F10&lt;=0.25,"Laag",IF(E10&lt;F10,"Aanvullen","Op niveau")))</f>
        <v>Leeg</v>
      </c>
      <c r="M10" s="44" t="s">
        <v>68</v>
      </c>
    </row>
  </sheetData>
  <autoFilter ref="A4:M10"/>
  <mergeCells count="2">
    <mergeCell ref="A1:M1"/>
    <mergeCell ref="A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2" width="13" customWidth="1"/>
    <col min="3" max="3" width="30" customWidth="1"/>
    <col min="4" max="4" width="14" customWidth="1"/>
    <col min="5" max="7" width="11" customWidth="1"/>
    <col min="8" max="8" width="18" customWidth="1"/>
    <col min="9" max="9" width="38" customWidth="1"/>
    <col min="10" max="10" width="24" customWidth="1"/>
  </cols>
  <sheetData>
    <row r="1" ht="28" customHeight="1" spans="1:10" x14ac:dyDescent="0.25">
      <c r="A1" s="41" t="s">
        <v>70</v>
      </c>
      <c r="B1" s="41"/>
      <c r="C1" s="41"/>
      <c r="D1" s="41"/>
      <c r="E1" s="41"/>
      <c r="F1" s="41"/>
      <c r="G1" s="41"/>
      <c r="H1" s="41"/>
      <c r="I1" s="41"/>
      <c r="J1" s="41"/>
    </row>
    <row r="2" ht="34" customHeight="1" spans="1:10" x14ac:dyDescent="0.25">
      <c r="A2" s="43" t="s">
        <v>71</v>
      </c>
      <c r="B2" s="43"/>
      <c r="C2" s="43"/>
      <c r="D2" s="43"/>
      <c r="E2" s="43"/>
      <c r="F2" s="43"/>
      <c r="G2" s="43"/>
      <c r="H2" s="43"/>
      <c r="I2" s="43"/>
      <c r="J2" s="43"/>
    </row>
    <row r="4" ht="32" customHeight="1" spans="1:10" x14ac:dyDescent="0.25">
      <c r="A4" s="1" t="s">
        <v>72</v>
      </c>
      <c r="B4" s="1" t="s">
        <v>57</v>
      </c>
      <c r="C4" s="1" t="s">
        <v>58</v>
      </c>
      <c r="D4" s="1" t="s">
        <v>52</v>
      </c>
      <c r="E4" s="1" t="s">
        <v>73</v>
      </c>
      <c r="F4" s="1" t="s">
        <v>74</v>
      </c>
      <c r="G4" s="1" t="s">
        <v>75</v>
      </c>
      <c r="H4" s="1" t="s">
        <v>76</v>
      </c>
      <c r="I4" s="1" t="s">
        <v>77</v>
      </c>
      <c r="J4" s="1" t="s">
        <v>78</v>
      </c>
    </row>
    <row r="5" spans="1:10" x14ac:dyDescent="0.25">
      <c r="A5" s="44">
        <v>1</v>
      </c>
      <c r="B5" s="44">
        <v>1</v>
      </c>
      <c r="C5" s="44" t="s">
        <v>54</v>
      </c>
      <c r="D5" s="44">
        <v>1000</v>
      </c>
      <c r="E5" s="44">
        <v>0</v>
      </c>
      <c r="F5" s="44">
        <v>1</v>
      </c>
      <c r="G5" s="44">
        <v>1</v>
      </c>
      <c r="H5" s="44" t="s">
        <v>79</v>
      </c>
      <c r="I5" s="44" t="s">
        <v>80</v>
      </c>
      <c r="J5" s="44" t="s">
        <v>69</v>
      </c>
    </row>
  </sheetData>
  <autoFilter ref="A4:J5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30" customWidth="1"/>
    <col min="4" max="4" width="18" customWidth="1"/>
    <col min="5" max="5" width="12" customWidth="1"/>
    <col min="6" max="6" width="14" customWidth="1"/>
    <col min="7" max="7" width="28" customWidth="1"/>
    <col min="8" max="8" width="18" customWidth="1"/>
    <col min="9" max="9" width="24" customWidth="1"/>
  </cols>
  <sheetData>
    <row r="1" ht="28" customHeight="1" spans="1:9" x14ac:dyDescent="0.25">
      <c r="A1" s="41" t="s">
        <v>81</v>
      </c>
      <c r="B1" s="41"/>
      <c r="C1" s="41"/>
      <c r="D1" s="41"/>
      <c r="E1" s="41"/>
      <c r="F1" s="41"/>
      <c r="G1" s="41"/>
      <c r="H1" s="41"/>
      <c r="I1" s="41"/>
    </row>
    <row r="2" ht="34" customHeight="1" spans="1:9" x14ac:dyDescent="0.25">
      <c r="A2" s="43" t="s">
        <v>82</v>
      </c>
      <c r="B2" s="43"/>
      <c r="C2" s="43"/>
      <c r="D2" s="43"/>
      <c r="E2" s="43"/>
      <c r="F2" s="43"/>
      <c r="G2" s="43"/>
      <c r="H2" s="43"/>
      <c r="I2" s="43"/>
    </row>
    <row r="4" ht="32" customHeight="1" spans="1:9" x14ac:dyDescent="0.25">
      <c r="A4" s="1" t="s">
        <v>83</v>
      </c>
      <c r="B4" s="1" t="s">
        <v>50</v>
      </c>
      <c r="C4" s="1" t="s">
        <v>58</v>
      </c>
      <c r="D4" s="1" t="s">
        <v>84</v>
      </c>
      <c r="E4" s="1" t="s">
        <v>85</v>
      </c>
      <c r="F4" s="1" t="s">
        <v>86</v>
      </c>
      <c r="G4" s="1" t="s">
        <v>87</v>
      </c>
      <c r="H4" s="1" t="s">
        <v>88</v>
      </c>
      <c r="I4" s="1" t="s">
        <v>67</v>
      </c>
    </row>
  </sheetData>
  <autoFilter ref="A4:I4"/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30" customWidth="1"/>
    <col min="4" max="4" width="14" customWidth="1"/>
    <col min="5" max="5" width="15" customWidth="1"/>
    <col min="6" max="6" width="17" customWidth="1"/>
    <col min="7" max="7" width="12" customWidth="1"/>
    <col min="8" max="8" width="15" customWidth="1"/>
    <col min="9" max="9" width="19" customWidth="1"/>
    <col min="10" max="10" width="13" customWidth="1"/>
    <col min="11" max="12" width="12" customWidth="1"/>
    <col min="13" max="13" width="62" customWidth="1"/>
  </cols>
  <sheetData>
    <row r="1" ht="28" customHeight="1" spans="1:13" x14ac:dyDescent="0.25">
      <c r="A1" s="41" t="s">
        <v>89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</row>
    <row r="2" ht="34" customHeight="1" spans="1:13" x14ac:dyDescent="0.25">
      <c r="A2" s="43" t="s">
        <v>90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</row>
    <row r="4" ht="32" customHeight="1" spans="1:13" x14ac:dyDescent="0.25">
      <c r="A4" s="1" t="s">
        <v>83</v>
      </c>
      <c r="B4" s="1" t="s">
        <v>50</v>
      </c>
      <c r="C4" s="1" t="s">
        <v>58</v>
      </c>
      <c r="D4" s="1" t="s">
        <v>52</v>
      </c>
      <c r="E4" s="1" t="s">
        <v>91</v>
      </c>
      <c r="F4" s="1" t="s">
        <v>1</v>
      </c>
      <c r="G4" s="1" t="s">
        <v>2</v>
      </c>
      <c r="H4" s="1" t="s">
        <v>92</v>
      </c>
      <c r="I4" s="1" t="s">
        <v>4</v>
      </c>
      <c r="J4" s="1" t="s">
        <v>5</v>
      </c>
      <c r="K4" s="1" t="s">
        <v>93</v>
      </c>
      <c r="L4" s="1" t="s">
        <v>8</v>
      </c>
      <c r="M4" s="1" t="s">
        <v>94</v>
      </c>
    </row>
  </sheetData>
  <autoFilter ref="A4:M4"/>
  <mergeCells count="2">
    <mergeCell ref="A1:M1"/>
    <mergeCell ref="A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Database</vt:lpstr>
      <vt:lpstr>Recepten</vt:lpstr>
      <vt:lpstr>Uitleg</vt:lpstr>
      <vt:lpstr>Producten</vt:lpstr>
      <vt:lpstr>Voorraad</vt:lpstr>
      <vt:lpstr>Voorraadhistorie</vt:lpstr>
      <vt:lpstr>Receptregels website</vt:lpstr>
      <vt:lpstr>Voedingswaarden website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Brassers SvelteKit</dc:creator>
  <dc:title>Brassers voorraad, recepten en voedingswaarden</dc:title>
  <dc:subject>Zelfstandig Excel-overzicht uit de Brassers Winkeltool</dc:subject>
  <dc:description/>
  <cp:keywords/>
  <cp:category/>
  <cp:lastModifiedBy>Brassers SvelteKit</cp:lastModifiedBy>
  <dcterms:created xsi:type="dcterms:W3CDTF">2026-09-14T09:42:06Z</dcterms:created>
  <dcterms:modified xsi:type="dcterms:W3CDTF">2026-09-14T09:42:06Z</dcterms:modified>
</cp:coreProperties>
</file>